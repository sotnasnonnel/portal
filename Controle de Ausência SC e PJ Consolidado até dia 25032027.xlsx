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phdengenhariabr.sharepoint.com/sites/DPeRH/Shared Documents/General/01. DEPARTAMENTO PESSOAL/06. FÉRIAS/FÉRIAS SOCIOS - PJ/"/>
    </mc:Choice>
  </mc:AlternateContent>
  <xr:revisionPtr revIDLastSave="9" documentId="8_{2226F687-BE71-4F55-BD50-39CE7B94B001}" xr6:coauthVersionLast="47" xr6:coauthVersionMax="47" xr10:uidLastSave="{30BEAE77-089C-43C8-95D5-50A50F97B003}"/>
  <bookViews>
    <workbookView xWindow="-108" yWindow="-108" windowWidth="23256" windowHeight="12456" xr2:uid="{66DF4280-DBD8-42AE-8C60-B03B9FDE4E87}"/>
  </bookViews>
  <sheets>
    <sheet name="PLANILHA MODELO" sheetId="1" r:id="rId1"/>
    <sheet name="Planilha2" sheetId="4" r:id="rId2"/>
    <sheet name="Planilha1" sheetId="3" state="hidden" r:id="rId3"/>
  </sheets>
  <definedNames>
    <definedName name="_xlnm._FilterDatabase" localSheetId="0" hidden="1">'PLANILHA MODELO'!$B$2:$S$155</definedName>
  </definedName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" l="1"/>
  <c r="P8" i="1"/>
  <c r="P67" i="1" l="1"/>
  <c r="K67" i="1"/>
  <c r="L67" i="1" s="1"/>
  <c r="J67" i="1"/>
  <c r="K66" i="1"/>
  <c r="L66" i="1" s="1"/>
  <c r="J66" i="1"/>
  <c r="K65" i="1"/>
  <c r="L65" i="1" s="1"/>
  <c r="J65" i="1"/>
  <c r="R67" i="1" l="1"/>
  <c r="S67" i="1"/>
  <c r="P65" i="1"/>
  <c r="S65" i="1" s="1"/>
  <c r="P66" i="1"/>
  <c r="R66" i="1" s="1"/>
  <c r="S66" i="1" l="1"/>
  <c r="R65" i="1"/>
  <c r="K152" i="1" l="1"/>
  <c r="L152" i="1" s="1"/>
  <c r="J152" i="1"/>
  <c r="P151" i="1"/>
  <c r="K151" i="1"/>
  <c r="L151" i="1" s="1"/>
  <c r="J151" i="1"/>
  <c r="K150" i="1"/>
  <c r="L150" i="1" s="1"/>
  <c r="J150" i="1"/>
  <c r="P144" i="1"/>
  <c r="K144" i="1"/>
  <c r="L144" i="1" s="1"/>
  <c r="J144" i="1"/>
  <c r="K143" i="1"/>
  <c r="L143" i="1" s="1"/>
  <c r="J143" i="1"/>
  <c r="K142" i="1"/>
  <c r="L142" i="1" s="1"/>
  <c r="J142" i="1"/>
  <c r="K133" i="1"/>
  <c r="L133" i="1" s="1"/>
  <c r="J133" i="1"/>
  <c r="K116" i="1"/>
  <c r="L116" i="1" s="1"/>
  <c r="J116" i="1"/>
  <c r="K114" i="1"/>
  <c r="L114" i="1" s="1"/>
  <c r="J114" i="1"/>
  <c r="P113" i="1"/>
  <c r="K113" i="1"/>
  <c r="L113" i="1" s="1"/>
  <c r="J113" i="1"/>
  <c r="K91" i="1"/>
  <c r="L91" i="1" s="1"/>
  <c r="J91" i="1"/>
  <c r="K78" i="1"/>
  <c r="L78" i="1" s="1"/>
  <c r="J78" i="1"/>
  <c r="K59" i="1"/>
  <c r="L59" i="1" s="1"/>
  <c r="J59" i="1"/>
  <c r="K58" i="1"/>
  <c r="L58" i="1" s="1"/>
  <c r="J58" i="1"/>
  <c r="K38" i="1"/>
  <c r="L38" i="1" s="1"/>
  <c r="J38" i="1"/>
  <c r="P37" i="1"/>
  <c r="K37" i="1"/>
  <c r="L37" i="1" s="1"/>
  <c r="J37" i="1"/>
  <c r="K33" i="1"/>
  <c r="L33" i="1" s="1"/>
  <c r="J33" i="1"/>
  <c r="P32" i="1"/>
  <c r="O33" i="1" s="1"/>
  <c r="K32" i="1"/>
  <c r="L32" i="1" s="1"/>
  <c r="J32" i="1"/>
  <c r="P24" i="1"/>
  <c r="K24" i="1"/>
  <c r="L24" i="1" s="1"/>
  <c r="J24" i="1"/>
  <c r="K48" i="1"/>
  <c r="L48" i="1" s="1"/>
  <c r="J48" i="1"/>
  <c r="K47" i="1"/>
  <c r="L47" i="1" s="1"/>
  <c r="J47" i="1"/>
  <c r="K127" i="1"/>
  <c r="L127" i="1" s="1"/>
  <c r="J127" i="1"/>
  <c r="P126" i="1"/>
  <c r="K126" i="1"/>
  <c r="L126" i="1" s="1"/>
  <c r="J126" i="1"/>
  <c r="K55" i="1"/>
  <c r="L55" i="1" s="1"/>
  <c r="J55" i="1"/>
  <c r="P53" i="1"/>
  <c r="K53" i="1"/>
  <c r="L53" i="1" s="1"/>
  <c r="J53" i="1"/>
  <c r="P52" i="1"/>
  <c r="K52" i="1"/>
  <c r="L52" i="1" s="1"/>
  <c r="J52" i="1"/>
  <c r="P17" i="1"/>
  <c r="K17" i="1"/>
  <c r="L17" i="1" s="1"/>
  <c r="J17" i="1"/>
  <c r="S151" i="1" l="1"/>
  <c r="P152" i="1"/>
  <c r="S152" i="1" s="1"/>
  <c r="R151" i="1"/>
  <c r="P150" i="1"/>
  <c r="S150" i="1" s="1"/>
  <c r="S144" i="1"/>
  <c r="R144" i="1"/>
  <c r="P142" i="1"/>
  <c r="S142" i="1" s="1"/>
  <c r="P143" i="1"/>
  <c r="S143" i="1" s="1"/>
  <c r="P133" i="1"/>
  <c r="P116" i="1"/>
  <c r="P114" i="1"/>
  <c r="S114" i="1" s="1"/>
  <c r="R113" i="1"/>
  <c r="S113" i="1"/>
  <c r="P91" i="1"/>
  <c r="P78" i="1"/>
  <c r="S78" i="1" s="1"/>
  <c r="P59" i="1"/>
  <c r="S59" i="1" s="1"/>
  <c r="P58" i="1"/>
  <c r="S58" i="1" s="1"/>
  <c r="R37" i="1"/>
  <c r="P38" i="1"/>
  <c r="S37" i="1"/>
  <c r="R32" i="1"/>
  <c r="S32" i="1"/>
  <c r="P33" i="1"/>
  <c r="S33" i="1" s="1"/>
  <c r="S24" i="1"/>
  <c r="R24" i="1"/>
  <c r="P48" i="1"/>
  <c r="S48" i="1" s="1"/>
  <c r="P47" i="1"/>
  <c r="S47" i="1" s="1"/>
  <c r="S126" i="1"/>
  <c r="R126" i="1"/>
  <c r="P127" i="1"/>
  <c r="S127" i="1" s="1"/>
  <c r="S52" i="1"/>
  <c r="P55" i="1"/>
  <c r="R53" i="1"/>
  <c r="S53" i="1"/>
  <c r="R52" i="1"/>
  <c r="S17" i="1"/>
  <c r="R17" i="1"/>
  <c r="R152" i="1" l="1"/>
  <c r="R150" i="1"/>
  <c r="R143" i="1"/>
  <c r="R142" i="1"/>
  <c r="S133" i="1"/>
  <c r="R133" i="1"/>
  <c r="R116" i="1"/>
  <c r="S116" i="1"/>
  <c r="R114" i="1"/>
  <c r="R91" i="1"/>
  <c r="S91" i="1"/>
  <c r="R78" i="1"/>
  <c r="R59" i="1"/>
  <c r="R58" i="1"/>
  <c r="R33" i="1"/>
  <c r="R38" i="1"/>
  <c r="S38" i="1"/>
  <c r="R48" i="1"/>
  <c r="R47" i="1"/>
  <c r="R127" i="1"/>
  <c r="S55" i="1"/>
  <c r="R55" i="1"/>
  <c r="P73" i="1" l="1"/>
  <c r="R73" i="1" s="1"/>
  <c r="K155" i="1"/>
  <c r="L155" i="1" s="1"/>
  <c r="J155" i="1"/>
  <c r="K105" i="1"/>
  <c r="L105" i="1" s="1"/>
  <c r="J105" i="1"/>
  <c r="P44" i="1"/>
  <c r="K44" i="1"/>
  <c r="L44" i="1" s="1"/>
  <c r="J44" i="1"/>
  <c r="P80" i="1"/>
  <c r="K80" i="1"/>
  <c r="L80" i="1" s="1"/>
  <c r="J80" i="1"/>
  <c r="P119" i="1"/>
  <c r="K119" i="1"/>
  <c r="L119" i="1" s="1"/>
  <c r="J119" i="1"/>
  <c r="S73" i="1" l="1"/>
  <c r="P155" i="1"/>
  <c r="S155" i="1" s="1"/>
  <c r="P105" i="1"/>
  <c r="S105" i="1" s="1"/>
  <c r="S44" i="1"/>
  <c r="R44" i="1"/>
  <c r="S80" i="1"/>
  <c r="R80" i="1"/>
  <c r="S119" i="1"/>
  <c r="R119" i="1"/>
  <c r="P22" i="1"/>
  <c r="K22" i="1"/>
  <c r="L22" i="1" s="1"/>
  <c r="J22" i="1"/>
  <c r="R155" i="1" l="1"/>
  <c r="R105" i="1"/>
  <c r="S22" i="1"/>
  <c r="R22" i="1"/>
  <c r="P70" i="1" l="1"/>
  <c r="S70" i="1" s="1"/>
  <c r="K70" i="1"/>
  <c r="J70" i="1"/>
  <c r="R70" i="1" l="1"/>
  <c r="K87" i="1" l="1"/>
  <c r="L87" i="1" s="1"/>
  <c r="J87" i="1"/>
  <c r="K86" i="1"/>
  <c r="L86" i="1" s="1"/>
  <c r="J86" i="1"/>
  <c r="P86" i="1" l="1"/>
  <c r="S86" i="1" s="1"/>
  <c r="P87" i="1"/>
  <c r="S87" i="1" s="1"/>
  <c r="R87" i="1" l="1"/>
  <c r="R86" i="1"/>
  <c r="M27" i="1"/>
  <c r="N27" i="1" s="1"/>
  <c r="P147" i="1" l="1"/>
  <c r="J147" i="1"/>
  <c r="K147" i="1"/>
  <c r="L147" i="1" s="1"/>
  <c r="P83" i="1"/>
  <c r="K83" i="1"/>
  <c r="L83" i="1" s="1"/>
  <c r="J83" i="1"/>
  <c r="P82" i="1"/>
  <c r="K82" i="1"/>
  <c r="L82" i="1" s="1"/>
  <c r="J82" i="1"/>
  <c r="P76" i="1"/>
  <c r="J76" i="1"/>
  <c r="K76" i="1"/>
  <c r="L76" i="1" s="1"/>
  <c r="J75" i="1"/>
  <c r="P9" i="1"/>
  <c r="P10" i="1"/>
  <c r="J9" i="1"/>
  <c r="K9" i="1"/>
  <c r="L9" i="1" s="1"/>
  <c r="J10" i="1"/>
  <c r="K10" i="1"/>
  <c r="L10" i="1" s="1"/>
  <c r="R76" i="1" l="1"/>
  <c r="S147" i="1"/>
  <c r="R147" i="1"/>
  <c r="S83" i="1"/>
  <c r="R83" i="1"/>
  <c r="R82" i="1"/>
  <c r="S82" i="1"/>
  <c r="S76" i="1"/>
  <c r="S9" i="1"/>
  <c r="R10" i="1"/>
  <c r="S10" i="1"/>
  <c r="R9" i="1"/>
  <c r="P137" i="1" l="1"/>
  <c r="K137" i="1"/>
  <c r="L137" i="1" s="1"/>
  <c r="J137" i="1"/>
  <c r="P123" i="1"/>
  <c r="J123" i="1"/>
  <c r="K123" i="1"/>
  <c r="L123" i="1" s="1"/>
  <c r="K107" i="1"/>
  <c r="J107" i="1"/>
  <c r="P102" i="1"/>
  <c r="K102" i="1"/>
  <c r="L102" i="1" s="1"/>
  <c r="J102" i="1"/>
  <c r="P90" i="1"/>
  <c r="P89" i="1"/>
  <c r="J89" i="1"/>
  <c r="K89" i="1"/>
  <c r="L89" i="1" s="1"/>
  <c r="J90" i="1"/>
  <c r="K90" i="1"/>
  <c r="L90" i="1" s="1"/>
  <c r="S137" i="1" l="1"/>
  <c r="R137" i="1"/>
  <c r="S123" i="1"/>
  <c r="R123" i="1"/>
  <c r="R102" i="1"/>
  <c r="P107" i="1"/>
  <c r="S107" i="1" s="1"/>
  <c r="S102" i="1"/>
  <c r="S89" i="1"/>
  <c r="S90" i="1"/>
  <c r="R89" i="1"/>
  <c r="R90" i="1"/>
  <c r="R107" i="1" l="1"/>
  <c r="K99" i="1" l="1"/>
  <c r="L99" i="1" s="1"/>
  <c r="J99" i="1"/>
  <c r="P99" i="1" l="1"/>
  <c r="S99" i="1" s="1"/>
  <c r="R99" i="1" l="1"/>
  <c r="P93" i="1"/>
  <c r="P4" i="1"/>
  <c r="R4" i="1" s="1"/>
  <c r="J148" i="1"/>
  <c r="J146" i="1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1" i="3"/>
  <c r="P94" i="1"/>
  <c r="P95" i="1"/>
  <c r="P3" i="1"/>
  <c r="R3" i="1" s="1"/>
  <c r="P153" i="1"/>
  <c r="K153" i="1"/>
  <c r="L153" i="1" s="1"/>
  <c r="J153" i="1"/>
  <c r="K145" i="1"/>
  <c r="L145" i="1" s="1"/>
  <c r="J145" i="1"/>
  <c r="K138" i="1"/>
  <c r="L138" i="1" s="1"/>
  <c r="J138" i="1"/>
  <c r="K136" i="1"/>
  <c r="J136" i="1"/>
  <c r="K132" i="1"/>
  <c r="L132" i="1" s="1"/>
  <c r="J132" i="1"/>
  <c r="K130" i="1"/>
  <c r="L130" i="1" s="1"/>
  <c r="J130" i="1"/>
  <c r="P128" i="1"/>
  <c r="K128" i="1"/>
  <c r="L128" i="1" s="1"/>
  <c r="J128" i="1"/>
  <c r="K124" i="1"/>
  <c r="L124" i="1" s="1"/>
  <c r="J124" i="1"/>
  <c r="K122" i="1"/>
  <c r="L122" i="1" s="1"/>
  <c r="J122" i="1"/>
  <c r="K118" i="1"/>
  <c r="J118" i="1"/>
  <c r="K115" i="1"/>
  <c r="L115" i="1" s="1"/>
  <c r="J115" i="1"/>
  <c r="K103" i="1"/>
  <c r="L103" i="1" s="1"/>
  <c r="J103" i="1"/>
  <c r="P100" i="1"/>
  <c r="K100" i="1"/>
  <c r="L100" i="1" s="1"/>
  <c r="J100" i="1"/>
  <c r="K97" i="1"/>
  <c r="J97" i="1"/>
  <c r="K88" i="1"/>
  <c r="L88" i="1" s="1"/>
  <c r="J88" i="1"/>
  <c r="K79" i="1"/>
  <c r="L79" i="1" s="1"/>
  <c r="J79" i="1"/>
  <c r="P74" i="1"/>
  <c r="K74" i="1"/>
  <c r="L74" i="1" s="1"/>
  <c r="J74" i="1"/>
  <c r="K68" i="1"/>
  <c r="L68" i="1" s="1"/>
  <c r="J68" i="1"/>
  <c r="P62" i="1"/>
  <c r="K62" i="1"/>
  <c r="L62" i="1" s="1"/>
  <c r="J62" i="1"/>
  <c r="K60" i="1"/>
  <c r="L60" i="1" s="1"/>
  <c r="J60" i="1"/>
  <c r="P54" i="1"/>
  <c r="K54" i="1"/>
  <c r="L54" i="1" s="1"/>
  <c r="J54" i="1"/>
  <c r="K49" i="1"/>
  <c r="L49" i="1" s="1"/>
  <c r="J49" i="1"/>
  <c r="P43" i="1"/>
  <c r="K43" i="1"/>
  <c r="J43" i="1"/>
  <c r="K42" i="1"/>
  <c r="L42" i="1" s="1"/>
  <c r="J42" i="1"/>
  <c r="P39" i="1"/>
  <c r="K39" i="1"/>
  <c r="L39" i="1" s="1"/>
  <c r="J39" i="1"/>
  <c r="K34" i="1"/>
  <c r="L34" i="1" s="1"/>
  <c r="J34" i="1"/>
  <c r="K29" i="1"/>
  <c r="L29" i="1" s="1"/>
  <c r="J29" i="1"/>
  <c r="K27" i="1"/>
  <c r="J27" i="1"/>
  <c r="K23" i="1"/>
  <c r="L23" i="1" s="1"/>
  <c r="J23" i="1"/>
  <c r="K20" i="1"/>
  <c r="J20" i="1"/>
  <c r="K18" i="1"/>
  <c r="L18" i="1" s="1"/>
  <c r="J18" i="1"/>
  <c r="K11" i="1"/>
  <c r="L11" i="1" s="1"/>
  <c r="J11" i="1"/>
  <c r="K7" i="1"/>
  <c r="L7" i="1" s="1"/>
  <c r="R7" i="1" s="1"/>
  <c r="J7" i="1"/>
  <c r="S4" i="1" l="1"/>
  <c r="S3" i="1"/>
  <c r="S39" i="1"/>
  <c r="S43" i="1"/>
  <c r="S62" i="1"/>
  <c r="S7" i="1"/>
  <c r="S128" i="1"/>
  <c r="S54" i="1"/>
  <c r="S74" i="1"/>
  <c r="S100" i="1"/>
  <c r="S153" i="1"/>
  <c r="R39" i="1"/>
  <c r="R43" i="1"/>
  <c r="P60" i="1"/>
  <c r="R60" i="1" s="1"/>
  <c r="R62" i="1"/>
  <c r="P68" i="1"/>
  <c r="R68" i="1" s="1"/>
  <c r="P124" i="1"/>
  <c r="R124" i="1" s="1"/>
  <c r="R128" i="1"/>
  <c r="P132" i="1"/>
  <c r="R132" i="1" s="1"/>
  <c r="R54" i="1"/>
  <c r="R74" i="1"/>
  <c r="P79" i="1"/>
  <c r="R79" i="1" s="1"/>
  <c r="P97" i="1"/>
  <c r="R97" i="1" s="1"/>
  <c r="R100" i="1"/>
  <c r="P115" i="1"/>
  <c r="R115" i="1" s="1"/>
  <c r="P118" i="1"/>
  <c r="R118" i="1" s="1"/>
  <c r="P136" i="1"/>
  <c r="R136" i="1" s="1"/>
  <c r="R153" i="1"/>
  <c r="P11" i="1"/>
  <c r="R11" i="1" s="1"/>
  <c r="P23" i="1"/>
  <c r="R23" i="1" s="1"/>
  <c r="P34" i="1"/>
  <c r="R34" i="1" s="1"/>
  <c r="P42" i="1"/>
  <c r="R42" i="1" s="1"/>
  <c r="P49" i="1"/>
  <c r="R49" i="1" s="1"/>
  <c r="P122" i="1"/>
  <c r="R122" i="1" s="1"/>
  <c r="P145" i="1"/>
  <c r="R145" i="1" s="1"/>
  <c r="P18" i="1"/>
  <c r="R18" i="1" s="1"/>
  <c r="P29" i="1"/>
  <c r="R29" i="1" s="1"/>
  <c r="P88" i="1"/>
  <c r="R88" i="1" s="1"/>
  <c r="P103" i="1"/>
  <c r="R103" i="1" s="1"/>
  <c r="P20" i="1"/>
  <c r="R20" i="1" s="1"/>
  <c r="P138" i="1"/>
  <c r="R138" i="1" s="1"/>
  <c r="K4" i="1"/>
  <c r="J4" i="1"/>
  <c r="S136" i="1" l="1"/>
  <c r="S118" i="1"/>
  <c r="S20" i="1"/>
  <c r="S132" i="1"/>
  <c r="S68" i="1"/>
  <c r="S145" i="1"/>
  <c r="S115" i="1"/>
  <c r="S79" i="1"/>
  <c r="S60" i="1"/>
  <c r="S42" i="1"/>
  <c r="S23" i="1"/>
  <c r="S34" i="1"/>
  <c r="S49" i="1"/>
  <c r="S29" i="1"/>
  <c r="S97" i="1"/>
  <c r="S88" i="1"/>
  <c r="S122" i="1"/>
  <c r="S18" i="1"/>
  <c r="S11" i="1"/>
  <c r="S138" i="1"/>
  <c r="S124" i="1"/>
  <c r="S103" i="1"/>
  <c r="P110" i="1"/>
  <c r="P146" i="1"/>
  <c r="P135" i="1"/>
  <c r="S135" i="1" s="1"/>
  <c r="P121" i="1"/>
  <c r="P84" i="1"/>
  <c r="P64" i="1"/>
  <c r="P28" i="1"/>
  <c r="P21" i="1"/>
  <c r="P125" i="1"/>
  <c r="P85" i="1"/>
  <c r="P25" i="1"/>
  <c r="P5" i="1"/>
  <c r="P101" i="1"/>
  <c r="P41" i="1"/>
  <c r="P120" i="1"/>
  <c r="P81" i="1"/>
  <c r="P63" i="1"/>
  <c r="S63" i="1" s="1"/>
  <c r="P19" i="1"/>
  <c r="S19" i="1" s="1"/>
  <c r="P96" i="1"/>
  <c r="S96" i="1" s="1"/>
  <c r="P46" i="1"/>
  <c r="P36" i="1"/>
  <c r="P51" i="1"/>
  <c r="P13" i="1"/>
  <c r="P112" i="1"/>
  <c r="P69" i="1"/>
  <c r="S69" i="1" s="1"/>
  <c r="P12" i="1"/>
  <c r="S12" i="1" s="1"/>
  <c r="P141" i="1"/>
  <c r="P108" i="1"/>
  <c r="S108" i="1" s="1"/>
  <c r="P131" i="1"/>
  <c r="P77" i="1"/>
  <c r="P140" i="1"/>
  <c r="P61" i="1"/>
  <c r="P16" i="1"/>
  <c r="P71" i="1"/>
  <c r="S71" i="1" s="1"/>
  <c r="P109" i="1"/>
  <c r="P30" i="1"/>
  <c r="S30" i="1" s="1"/>
  <c r="P134" i="1"/>
  <c r="P98" i="1"/>
  <c r="P40" i="1"/>
  <c r="S40" i="1" s="1"/>
  <c r="P92" i="1"/>
  <c r="P57" i="1"/>
  <c r="P35" i="1"/>
  <c r="S35" i="1" s="1"/>
  <c r="P26" i="1"/>
  <c r="P15" i="1"/>
  <c r="P6" i="1"/>
  <c r="P148" i="1"/>
  <c r="S148" i="1" s="1"/>
  <c r="P104" i="1"/>
  <c r="S104" i="1" s="1"/>
  <c r="P50" i="1"/>
  <c r="S50" i="1" s="1"/>
  <c r="P154" i="1"/>
  <c r="P129" i="1"/>
  <c r="P111" i="1"/>
  <c r="P75" i="1"/>
  <c r="P45" i="1"/>
  <c r="P149" i="1"/>
  <c r="P139" i="1"/>
  <c r="S139" i="1" s="1"/>
  <c r="P117" i="1"/>
  <c r="P106" i="1"/>
  <c r="P72" i="1"/>
  <c r="P56" i="1"/>
  <c r="P31" i="1"/>
  <c r="P14" i="1"/>
  <c r="S14" i="1" s="1"/>
  <c r="Q94" i="1"/>
  <c r="Q95" i="1"/>
  <c r="J5" i="1"/>
  <c r="K5" i="1"/>
  <c r="L5" i="1" s="1"/>
  <c r="J6" i="1"/>
  <c r="K6" i="1"/>
  <c r="L6" i="1" s="1"/>
  <c r="J8" i="1"/>
  <c r="K8" i="1"/>
  <c r="L8" i="1" s="1"/>
  <c r="J12" i="1"/>
  <c r="K12" i="1"/>
  <c r="J13" i="1"/>
  <c r="K13" i="1"/>
  <c r="L13" i="1" s="1"/>
  <c r="J14" i="1"/>
  <c r="K14" i="1"/>
  <c r="J15" i="1"/>
  <c r="K15" i="1"/>
  <c r="L15" i="1" s="1"/>
  <c r="J16" i="1"/>
  <c r="K16" i="1"/>
  <c r="L16" i="1" s="1"/>
  <c r="J19" i="1"/>
  <c r="K19" i="1"/>
  <c r="J21" i="1"/>
  <c r="K21" i="1"/>
  <c r="L21" i="1" s="1"/>
  <c r="J25" i="1"/>
  <c r="K25" i="1"/>
  <c r="L25" i="1" s="1"/>
  <c r="J26" i="1"/>
  <c r="K26" i="1"/>
  <c r="J28" i="1"/>
  <c r="K28" i="1"/>
  <c r="L28" i="1" s="1"/>
  <c r="J30" i="1"/>
  <c r="K30" i="1"/>
  <c r="J31" i="1"/>
  <c r="K31" i="1"/>
  <c r="L31" i="1" s="1"/>
  <c r="J35" i="1"/>
  <c r="K35" i="1"/>
  <c r="J36" i="1"/>
  <c r="K36" i="1"/>
  <c r="L36" i="1" s="1"/>
  <c r="J40" i="1"/>
  <c r="K40" i="1"/>
  <c r="L40" i="1" s="1"/>
  <c r="J41" i="1"/>
  <c r="K41" i="1"/>
  <c r="L41" i="1" s="1"/>
  <c r="J45" i="1"/>
  <c r="K45" i="1"/>
  <c r="L45" i="1" s="1"/>
  <c r="J46" i="1"/>
  <c r="K46" i="1"/>
  <c r="L46" i="1" s="1"/>
  <c r="J50" i="1"/>
  <c r="K50" i="1"/>
  <c r="J51" i="1"/>
  <c r="K51" i="1"/>
  <c r="L51" i="1" s="1"/>
  <c r="J56" i="1"/>
  <c r="K56" i="1"/>
  <c r="L56" i="1" s="1"/>
  <c r="J57" i="1"/>
  <c r="K57" i="1"/>
  <c r="L57" i="1" s="1"/>
  <c r="J61" i="1"/>
  <c r="K61" i="1"/>
  <c r="L61" i="1" s="1"/>
  <c r="J63" i="1"/>
  <c r="K63" i="1"/>
  <c r="J64" i="1"/>
  <c r="K64" i="1"/>
  <c r="L64" i="1" s="1"/>
  <c r="J69" i="1"/>
  <c r="K69" i="1"/>
  <c r="J71" i="1"/>
  <c r="K71" i="1"/>
  <c r="J72" i="1"/>
  <c r="K72" i="1"/>
  <c r="L72" i="1" s="1"/>
  <c r="K75" i="1"/>
  <c r="L75" i="1" s="1"/>
  <c r="J77" i="1"/>
  <c r="K77" i="1"/>
  <c r="L77" i="1" s="1"/>
  <c r="J81" i="1"/>
  <c r="K81" i="1"/>
  <c r="L81" i="1" s="1"/>
  <c r="J84" i="1"/>
  <c r="K84" i="1"/>
  <c r="L84" i="1" s="1"/>
  <c r="J85" i="1"/>
  <c r="K85" i="1"/>
  <c r="L85" i="1" s="1"/>
  <c r="J92" i="1"/>
  <c r="K92" i="1"/>
  <c r="L92" i="1" s="1"/>
  <c r="J93" i="1"/>
  <c r="K93" i="1"/>
  <c r="L93" i="1" s="1"/>
  <c r="J94" i="1"/>
  <c r="K94" i="1"/>
  <c r="L94" i="1" s="1"/>
  <c r="J95" i="1"/>
  <c r="K95" i="1"/>
  <c r="L95" i="1" s="1"/>
  <c r="J96" i="1"/>
  <c r="K96" i="1"/>
  <c r="J98" i="1"/>
  <c r="K98" i="1"/>
  <c r="L98" i="1" s="1"/>
  <c r="J101" i="1"/>
  <c r="K101" i="1"/>
  <c r="L101" i="1" s="1"/>
  <c r="J104" i="1"/>
  <c r="K104" i="1"/>
  <c r="J106" i="1"/>
  <c r="K106" i="1"/>
  <c r="L106" i="1" s="1"/>
  <c r="J108" i="1"/>
  <c r="K108" i="1"/>
  <c r="J109" i="1"/>
  <c r="K109" i="1"/>
  <c r="L109" i="1" s="1"/>
  <c r="J110" i="1"/>
  <c r="K110" i="1"/>
  <c r="L110" i="1" s="1"/>
  <c r="J111" i="1"/>
  <c r="K111" i="1"/>
  <c r="L111" i="1" s="1"/>
  <c r="J112" i="1"/>
  <c r="K112" i="1"/>
  <c r="L112" i="1" s="1"/>
  <c r="J117" i="1"/>
  <c r="K117" i="1"/>
  <c r="L117" i="1" s="1"/>
  <c r="J120" i="1"/>
  <c r="K120" i="1"/>
  <c r="L120" i="1" s="1"/>
  <c r="J121" i="1"/>
  <c r="K121" i="1"/>
  <c r="L121" i="1" s="1"/>
  <c r="J125" i="1"/>
  <c r="K125" i="1"/>
  <c r="L125" i="1" s="1"/>
  <c r="J129" i="1"/>
  <c r="K129" i="1"/>
  <c r="L129" i="1" s="1"/>
  <c r="J131" i="1"/>
  <c r="K131" i="1"/>
  <c r="L131" i="1" s="1"/>
  <c r="J134" i="1"/>
  <c r="K134" i="1"/>
  <c r="L134" i="1" s="1"/>
  <c r="J135" i="1"/>
  <c r="K135" i="1"/>
  <c r="J139" i="1"/>
  <c r="K139" i="1"/>
  <c r="L139" i="1" s="1"/>
  <c r="J140" i="1"/>
  <c r="K140" i="1"/>
  <c r="L140" i="1" s="1"/>
  <c r="J141" i="1"/>
  <c r="K141" i="1"/>
  <c r="L141" i="1" s="1"/>
  <c r="K146" i="1"/>
  <c r="K148" i="1"/>
  <c r="J149" i="1"/>
  <c r="K149" i="1"/>
  <c r="L149" i="1" s="1"/>
  <c r="J154" i="1"/>
  <c r="K154" i="1"/>
  <c r="L154" i="1" s="1"/>
  <c r="K3" i="1"/>
  <c r="J3" i="1"/>
  <c r="R135" i="1" l="1"/>
  <c r="S110" i="1"/>
  <c r="R110" i="1"/>
  <c r="R104" i="1"/>
  <c r="S111" i="1"/>
  <c r="R35" i="1"/>
  <c r="S154" i="1"/>
  <c r="R154" i="1"/>
  <c r="R111" i="1"/>
  <c r="R63" i="1"/>
  <c r="R50" i="1"/>
  <c r="R71" i="1"/>
  <c r="R19" i="1"/>
  <c r="R6" i="1"/>
  <c r="S131" i="1"/>
  <c r="R131" i="1"/>
  <c r="S6" i="1"/>
  <c r="R139" i="1"/>
  <c r="Q67" i="1"/>
  <c r="S64" i="1"/>
  <c r="R64" i="1"/>
  <c r="Q65" i="1"/>
  <c r="Q66" i="1"/>
  <c r="R149" i="1"/>
  <c r="Q152" i="1"/>
  <c r="S149" i="1"/>
  <c r="Q151" i="1"/>
  <c r="Q150" i="1"/>
  <c r="S141" i="1"/>
  <c r="Q144" i="1"/>
  <c r="R141" i="1"/>
  <c r="Q142" i="1"/>
  <c r="Q143" i="1"/>
  <c r="Q133" i="1"/>
  <c r="S134" i="1"/>
  <c r="R134" i="1"/>
  <c r="S117" i="1"/>
  <c r="Q114" i="1"/>
  <c r="Q116" i="1"/>
  <c r="R117" i="1"/>
  <c r="S112" i="1"/>
  <c r="R112" i="1"/>
  <c r="Q91" i="1"/>
  <c r="Q113" i="1"/>
  <c r="S92" i="1"/>
  <c r="R92" i="1"/>
  <c r="Q78" i="1"/>
  <c r="S77" i="1"/>
  <c r="R77" i="1"/>
  <c r="Q58" i="1"/>
  <c r="Q59" i="1"/>
  <c r="S57" i="1"/>
  <c r="R57" i="1"/>
  <c r="S41" i="1"/>
  <c r="R41" i="1"/>
  <c r="Q37" i="1"/>
  <c r="Q38" i="1"/>
  <c r="S36" i="1"/>
  <c r="R36" i="1"/>
  <c r="R31" i="1"/>
  <c r="Q24" i="1"/>
  <c r="Q33" i="1"/>
  <c r="Q32" i="1"/>
  <c r="S31" i="1"/>
  <c r="S25" i="1"/>
  <c r="R25" i="1"/>
  <c r="Q48" i="1"/>
  <c r="S46" i="1"/>
  <c r="R46" i="1"/>
  <c r="Q47" i="1"/>
  <c r="S125" i="1"/>
  <c r="Q127" i="1"/>
  <c r="Q126" i="1"/>
  <c r="R125" i="1"/>
  <c r="S56" i="1"/>
  <c r="R56" i="1"/>
  <c r="Q55" i="1"/>
  <c r="S51" i="1"/>
  <c r="Q52" i="1"/>
  <c r="Q53" i="1"/>
  <c r="R51" i="1"/>
  <c r="Q17" i="1"/>
  <c r="Q73" i="1"/>
  <c r="S72" i="1"/>
  <c r="R72" i="1"/>
  <c r="S109" i="1"/>
  <c r="Q155" i="1"/>
  <c r="R109" i="1"/>
  <c r="S106" i="1"/>
  <c r="Q105" i="1"/>
  <c r="R106" i="1"/>
  <c r="Q44" i="1"/>
  <c r="S45" i="1"/>
  <c r="R45" i="1"/>
  <c r="S5" i="1"/>
  <c r="Q119" i="1"/>
  <c r="Q80" i="1"/>
  <c r="R21" i="1"/>
  <c r="S81" i="1"/>
  <c r="R81" i="1"/>
  <c r="S120" i="1"/>
  <c r="R120" i="1"/>
  <c r="R5" i="1"/>
  <c r="Q22" i="1"/>
  <c r="S21" i="1"/>
  <c r="S28" i="1"/>
  <c r="R28" i="1"/>
  <c r="R96" i="1"/>
  <c r="Q70" i="1"/>
  <c r="R40" i="1"/>
  <c r="R69" i="1"/>
  <c r="R30" i="1"/>
  <c r="S13" i="1"/>
  <c r="R148" i="1"/>
  <c r="Q86" i="1"/>
  <c r="Q87" i="1"/>
  <c r="R84" i="1"/>
  <c r="S85" i="1"/>
  <c r="R85" i="1"/>
  <c r="S129" i="1"/>
  <c r="O130" i="1"/>
  <c r="S121" i="1"/>
  <c r="R129" i="1"/>
  <c r="R121" i="1"/>
  <c r="S15" i="1"/>
  <c r="S26" i="1"/>
  <c r="O27" i="1"/>
  <c r="S16" i="1"/>
  <c r="R26" i="1"/>
  <c r="R15" i="1"/>
  <c r="R14" i="1"/>
  <c r="R12" i="1"/>
  <c r="R13" i="1"/>
  <c r="R16" i="1"/>
  <c r="S75" i="1"/>
  <c r="Q147" i="1"/>
  <c r="S93" i="1"/>
  <c r="R93" i="1"/>
  <c r="S8" i="1"/>
  <c r="Q83" i="1"/>
  <c r="Q82" i="1"/>
  <c r="S84" i="1"/>
  <c r="R75" i="1"/>
  <c r="Q76" i="1"/>
  <c r="Q10" i="1"/>
  <c r="Q9" i="1"/>
  <c r="R8" i="1"/>
  <c r="S140" i="1"/>
  <c r="R140" i="1"/>
  <c r="Q137" i="1"/>
  <c r="Q123" i="1"/>
  <c r="Q107" i="1"/>
  <c r="R108" i="1"/>
  <c r="Q102" i="1"/>
  <c r="S101" i="1"/>
  <c r="R101" i="1"/>
  <c r="Q90" i="1"/>
  <c r="Q89" i="1"/>
  <c r="S98" i="1"/>
  <c r="S61" i="1"/>
  <c r="R61" i="1"/>
  <c r="R98" i="1"/>
  <c r="Q99" i="1"/>
  <c r="R94" i="1"/>
  <c r="S94" i="1"/>
  <c r="R95" i="1"/>
  <c r="S95" i="1"/>
  <c r="Q135" i="1"/>
  <c r="Q4" i="1"/>
  <c r="Q129" i="1"/>
  <c r="Q121" i="1"/>
  <c r="Q154" i="1"/>
  <c r="Q141" i="1"/>
  <c r="Q139" i="1"/>
  <c r="Q134" i="1"/>
  <c r="Q120" i="1"/>
  <c r="Q117" i="1"/>
  <c r="Q108" i="1"/>
  <c r="Q106" i="1"/>
  <c r="Q98" i="1"/>
  <c r="Q92" i="1"/>
  <c r="Q84" i="1"/>
  <c r="Q75" i="1"/>
  <c r="Q64" i="1"/>
  <c r="Q57" i="1"/>
  <c r="Q45" i="1"/>
  <c r="Q35" i="1"/>
  <c r="Q28" i="1"/>
  <c r="Q26" i="1"/>
  <c r="Q21" i="1"/>
  <c r="Q15" i="1"/>
  <c r="Q6" i="1"/>
  <c r="Q111" i="1"/>
  <c r="Q69" i="1"/>
  <c r="Q12" i="1"/>
  <c r="Q149" i="1"/>
  <c r="Q131" i="1"/>
  <c r="Q125" i="1"/>
  <c r="Q110" i="1"/>
  <c r="Q104" i="1"/>
  <c r="Q96" i="1"/>
  <c r="Q81" i="1"/>
  <c r="Q72" i="1"/>
  <c r="Q63" i="1"/>
  <c r="Q56" i="1"/>
  <c r="Q50" i="1"/>
  <c r="Q40" i="1"/>
  <c r="Q31" i="1"/>
  <c r="Q19" i="1"/>
  <c r="Q14" i="1"/>
  <c r="Q93" i="1"/>
  <c r="Q16" i="1"/>
  <c r="Q148" i="1"/>
  <c r="Q41" i="1"/>
  <c r="Q109" i="1"/>
  <c r="Q101" i="1"/>
  <c r="Q85" i="1"/>
  <c r="Q77" i="1"/>
  <c r="Q71" i="1"/>
  <c r="Q51" i="1"/>
  <c r="Q46" i="1"/>
  <c r="Q36" i="1"/>
  <c r="Q25" i="1"/>
  <c r="Q13" i="1"/>
  <c r="Q8" i="1"/>
  <c r="Q5" i="1"/>
  <c r="L146" i="1"/>
  <c r="S146" i="1" s="1"/>
  <c r="Q146" i="1"/>
  <c r="Q61" i="1"/>
  <c r="Q30" i="1"/>
  <c r="Q140" i="1"/>
  <c r="Q112" i="1"/>
  <c r="Q62" i="1"/>
  <c r="Q60" i="1"/>
  <c r="Q68" i="1"/>
  <c r="Q103" i="1"/>
  <c r="Q122" i="1"/>
  <c r="Q7" i="1"/>
  <c r="Q88" i="1"/>
  <c r="Q115" i="1"/>
  <c r="Q54" i="1"/>
  <c r="Q49" i="1"/>
  <c r="Q124" i="1"/>
  <c r="Q18" i="1"/>
  <c r="Q100" i="1"/>
  <c r="Q118" i="1"/>
  <c r="Q130" i="1"/>
  <c r="Q153" i="1"/>
  <c r="Q20" i="1"/>
  <c r="Q145" i="1"/>
  <c r="Q74" i="1"/>
  <c r="Q136" i="1"/>
  <c r="Q42" i="1"/>
  <c r="Q29" i="1"/>
  <c r="Q79" i="1"/>
  <c r="Q39" i="1"/>
  <c r="Q132" i="1"/>
  <c r="Q27" i="1"/>
  <c r="Q11" i="1"/>
  <c r="Q34" i="1"/>
  <c r="Q43" i="1"/>
  <c r="Q128" i="1"/>
  <c r="Q97" i="1"/>
  <c r="Q23" i="1"/>
  <c r="Q138" i="1"/>
  <c r="Q3" i="1"/>
  <c r="P130" i="1" l="1"/>
  <c r="R130" i="1" s="1"/>
  <c r="P27" i="1"/>
  <c r="R27" i="1" s="1"/>
  <c r="R146" i="1"/>
  <c r="S130" i="1" l="1"/>
  <c r="S27" i="1"/>
</calcChain>
</file>

<file path=xl/sharedStrings.xml><?xml version="1.0" encoding="utf-8"?>
<sst xmlns="http://schemas.openxmlformats.org/spreadsheetml/2006/main" count="1085" uniqueCount="161">
  <si>
    <t>NOME</t>
  </si>
  <si>
    <t>FUNCAO</t>
  </si>
  <si>
    <t>FIM PERIODO AQUISITIVO</t>
  </si>
  <si>
    <t>INICIO PERIODO AQUISITIVO</t>
  </si>
  <si>
    <t>ADAILTON LUCAS GALINDO DE ANDRADE</t>
  </si>
  <si>
    <t>ALEX POSSIDONIO DA SILVA</t>
  </si>
  <si>
    <t>ANA REGINA REZENDE CALDEIRA</t>
  </si>
  <si>
    <t>ANDRE LUIZ COSTA GUIMARAES</t>
  </si>
  <si>
    <t>ANDREY LUZ SOUSA</t>
  </si>
  <si>
    <t>ANGELA MARIA LOPES CAMPOS</t>
  </si>
  <si>
    <t>ARTHUR JOSE TEIXEIRA ANDRADE</t>
  </si>
  <si>
    <t>ARTUR VIEIRA JANUTH</t>
  </si>
  <si>
    <t>BRENDO HENRIQUE LOPES</t>
  </si>
  <si>
    <t>BRUNO ALBERTO AZEVEDO</t>
  </si>
  <si>
    <t>DANIEL CARLOS SILVA</t>
  </si>
  <si>
    <t>DANIEL DOS SANTOS ALMEIDA</t>
  </si>
  <si>
    <t>DANIEL MIRANDA CABRAL DE SOUSA</t>
  </si>
  <si>
    <t>DEIVIDY ALVES GOMES</t>
  </si>
  <si>
    <t>DIANY STEFFANE FERREIRA SANTANA</t>
  </si>
  <si>
    <t>DIEGO FIRME BERNARDES</t>
  </si>
  <si>
    <t>DIEGO RANIERI MELO RODRIGUES</t>
  </si>
  <si>
    <t>DIOGO HENRIQUE SOARES</t>
  </si>
  <si>
    <t>EDUARDO DOS REIS ELER</t>
  </si>
  <si>
    <t>EDUARDO FERREIRA DA SILVA</t>
  </si>
  <si>
    <t>FABIO DE JESUS OLIVEIRA</t>
  </si>
  <si>
    <t>FILIPHE CARVALHO DOS SANTOS</t>
  </si>
  <si>
    <t>FRANCISCO BECARI JUNIOR</t>
  </si>
  <si>
    <t>GABRIEL DE ANDRADE ABUD</t>
  </si>
  <si>
    <t>GABRIEL FRANCISCO DOS SANTOS</t>
  </si>
  <si>
    <t>GUSTAVO BICALHO NOGUEIRA MARQUES</t>
  </si>
  <si>
    <t>GUSTAVO VIEIRA LANA</t>
  </si>
  <si>
    <t>ICARO ANTONIO DUQUE BAHIA</t>
  </si>
  <si>
    <t>ISAC RODRIGUES HORTA</t>
  </si>
  <si>
    <t>IVAN VERVE SANTOS SILVA</t>
  </si>
  <si>
    <t>IVANO ROBERTO SILVA DA CRUZ</t>
  </si>
  <si>
    <t>JAKELINE RAYANE BARROS FELIX</t>
  </si>
  <si>
    <t>JARBAS DE MAGALHAES SILVA JUNIOR</t>
  </si>
  <si>
    <t>JEFERSON EXPEDITO DE OLIVEIRA SILVA</t>
  </si>
  <si>
    <t>JEFFERSON MAGALHAES DE SA</t>
  </si>
  <si>
    <t>JOSE ANTONIO RIBEIRO VARGAS</t>
  </si>
  <si>
    <t>JULIA BRANDAO ROCHA</t>
  </si>
  <si>
    <t>KARINE VITORIA MADEIRA GAMA</t>
  </si>
  <si>
    <t>LENNON MICHAEL MOREIRA SANTOS</t>
  </si>
  <si>
    <t>LEONARDO AUGUSTO OLIVEIRA DRUMOND</t>
  </si>
  <si>
    <t>LUCAS ANDRADE BATISTA</t>
  </si>
  <si>
    <t>LUCAS DE ASSIS BRAGA</t>
  </si>
  <si>
    <t>LUCAS EDUARDO NORBERTO BARROSO</t>
  </si>
  <si>
    <t>LUCAS FERRAZ GONCALVES</t>
  </si>
  <si>
    <t>LUCAS PEDRO ZACARIAS</t>
  </si>
  <si>
    <t>LUCIANA DE FATIMA FERREIRA</t>
  </si>
  <si>
    <t>LUIZ GUSTAVO LOPES DOS SANTOS</t>
  </si>
  <si>
    <t>LUIZ HENRIQUE FERNANDES BRANDAO</t>
  </si>
  <si>
    <t>MAICON HENRIQUE VIEIRA MORAIS</t>
  </si>
  <si>
    <t>MARCIO WALDIR BORGES MUELLER JUNIOR</t>
  </si>
  <si>
    <t>MARCOS ANTONIO ALMEIDA FERRAIS</t>
  </si>
  <si>
    <t>MATEUS FILIPE CORRADI DE MORAIS</t>
  </si>
  <si>
    <t>MATEUS NASCIMENTO CEREJO ZICO</t>
  </si>
  <si>
    <t>MATHEUS SANTOS COSTA</t>
  </si>
  <si>
    <t>NILTON DE SORDI NETTO</t>
  </si>
  <si>
    <t>PAULO CEZAR DE PAIVA NETO</t>
  </si>
  <si>
    <t>PAULO SERGIO DA SILVA COSTA JUNIOR</t>
  </si>
  <si>
    <t>PEDRO HENRIQUE BOSCO NERY</t>
  </si>
  <si>
    <t>PEDRO HENRIQUE BRAGA DE MORAIS</t>
  </si>
  <si>
    <t>PEDRO IVO DA SILVA BATISTA FILHO</t>
  </si>
  <si>
    <t>PIETRO MATEUS HOLTHAUSEN ROSA</t>
  </si>
  <si>
    <t>POLYANE GOMES DE LANES</t>
  </si>
  <si>
    <t>ROBERTO RIBEIRO GUIMARAES DE MEDEIROS</t>
  </si>
  <si>
    <t>RODOLPHO GUEDES FONSECA</t>
  </si>
  <si>
    <t>RODRIGO MARTINS BRANDOLT</t>
  </si>
  <si>
    <t>RODRIGO MORAIS TEIXEIRA</t>
  </si>
  <si>
    <t>RONALDO MENDES MACHADO</t>
  </si>
  <si>
    <t>ROSILAINE DA SILVA VAZ</t>
  </si>
  <si>
    <t>SILAS MOREIRA TUPINAMBA</t>
  </si>
  <si>
    <t>TALLES COSMI GONCALVES</t>
  </si>
  <si>
    <t>THIAGO ANDRADE CAMBRAIA</t>
  </si>
  <si>
    <t>VICTOR GOMES AGUIAR</t>
  </si>
  <si>
    <t>VICTOR HUGO SILVA MOTA</t>
  </si>
  <si>
    <t>VINICIUS ANDALECIO DA SILVA COSTA</t>
  </si>
  <si>
    <t>WARLEY SANTOS MARTINS NOGUEIRA</t>
  </si>
  <si>
    <t>YAN CAUE DA SILVA</t>
  </si>
  <si>
    <t>YAN LUCCA DE ALMEIDA MOREIRA</t>
  </si>
  <si>
    <t>LAURA DE CASTRO SAMPAIO</t>
  </si>
  <si>
    <t>EMERSON DE MELO FERREIRA DA SILVA</t>
  </si>
  <si>
    <t>PEDRO GABRIEL SANTOS CHAVES</t>
  </si>
  <si>
    <t>FERNANDA LOPES DE LIGORIO</t>
  </si>
  <si>
    <t>DIVINO FELICIO SANTOS</t>
  </si>
  <si>
    <t>ARTHUR FARHAT BENEDITO</t>
  </si>
  <si>
    <t>RAFAEL DINIZ FLORENCIO</t>
  </si>
  <si>
    <t>MARIANA VENTURA SILVA</t>
  </si>
  <si>
    <t>FELIPE SANTOS ARAUJO</t>
  </si>
  <si>
    <t>RODRIGO ASSIS ROCHA</t>
  </si>
  <si>
    <t>TAINARA PEREIRA RODRIGUES</t>
  </si>
  <si>
    <t>MATHEUS PERA</t>
  </si>
  <si>
    <t>THIAGO SILVA LETRO</t>
  </si>
  <si>
    <t>DIAS PENDENTES</t>
  </si>
  <si>
    <t>INICIO AUSENCIA</t>
  </si>
  <si>
    <t>FIM AUSENCIA</t>
  </si>
  <si>
    <t>GERENTE DE PMO</t>
  </si>
  <si>
    <t>CONSULTOR DE PLANEJAMENTO</t>
  </si>
  <si>
    <t>ESPECIALISTA DE PLANEJAMENTO</t>
  </si>
  <si>
    <t>COORDENADOR COMERCIAL</t>
  </si>
  <si>
    <t>COORDENADOR BIM</t>
  </si>
  <si>
    <t>GERENTE COMERCIAL</t>
  </si>
  <si>
    <t>PHDE</t>
  </si>
  <si>
    <t>VALTECI LEANDRO DE OLIVEIRA</t>
  </si>
  <si>
    <t>COORDENADOR ADMINISTRATIVO</t>
  </si>
  <si>
    <t>COORDENADOR DE PLANEJAMENTO</t>
  </si>
  <si>
    <t>CONSULTOR DE PLANEJAMENTO PL</t>
  </si>
  <si>
    <t xml:space="preserve">COORDENADOR DE PLANEJAMENTO </t>
  </si>
  <si>
    <t xml:space="preserve">COORDENADORA DE MARKETING </t>
  </si>
  <si>
    <t>ESPECIALISTA BIM</t>
  </si>
  <si>
    <t>CONSULTOR DE PLANEJAMENTO SR</t>
  </si>
  <si>
    <t>CONSULTOR BIM PL</t>
  </si>
  <si>
    <t>GERENTE EXECUTIVO</t>
  </si>
  <si>
    <t xml:space="preserve">CONSULTOR DE PLANEJAMENTO SR </t>
  </si>
  <si>
    <t>ESPECIALISTA DE PLANEJAMENTO PL</t>
  </si>
  <si>
    <t xml:space="preserve">ESPECIALISTA BIM </t>
  </si>
  <si>
    <t>HEAD DE QUALIDADE</t>
  </si>
  <si>
    <t>CONSULTOR LEAN SR</t>
  </si>
  <si>
    <t>ESPECIALISTA BIM PL</t>
  </si>
  <si>
    <t>ESPECIALISTA DE PMO</t>
  </si>
  <si>
    <t xml:space="preserve">CONSULTOR BIM </t>
  </si>
  <si>
    <t>GERENTE DE GENTE E CULTURA</t>
  </si>
  <si>
    <t>ANALISTA DE GENTE E CULTURA PL</t>
  </si>
  <si>
    <t>CONSULTOR BIM SR</t>
  </si>
  <si>
    <t>COORDENADOR PLANEJAMENTO PL</t>
  </si>
  <si>
    <t>COORDENADOR DE PMO PL</t>
  </si>
  <si>
    <t>SALDO</t>
  </si>
  <si>
    <t>LIMITE AUSENCIA EFETIVA</t>
  </si>
  <si>
    <t>THALES SANDER CARVALHO DE PÁDUA</t>
  </si>
  <si>
    <t>SILAS MOREIRA TUPINAMBÁ</t>
  </si>
  <si>
    <t>EDUARDO REIS ELER</t>
  </si>
  <si>
    <t>VINICIUS ANDALÉCIO DA SILVA COSTA</t>
  </si>
  <si>
    <t>ANDRE LUIZ COSTA GUIMARÃES</t>
  </si>
  <si>
    <t>LIDER DIRETO</t>
  </si>
  <si>
    <t>GERENTE BIM</t>
  </si>
  <si>
    <t>TULIO RAFAEL MORAIS</t>
  </si>
  <si>
    <t>JULIO CESAR</t>
  </si>
  <si>
    <t>NILTON SORDI NETTO</t>
  </si>
  <si>
    <t>GERENCIA/DIRETORIA</t>
  </si>
  <si>
    <t>ANO AQUISITIVO  INICIO</t>
  </si>
  <si>
    <t>ANO AQUISITIVO  TERMINO</t>
  </si>
  <si>
    <t>2025</t>
  </si>
  <si>
    <t>2024</t>
  </si>
  <si>
    <t>WARLEY ALVES CAMPOS</t>
  </si>
  <si>
    <t>QUANTIDADE DE  DIAS DE AUSÊNCIA  PROGRAMADA</t>
  </si>
  <si>
    <t>STATUS</t>
  </si>
  <si>
    <t>EMPRESA</t>
  </si>
  <si>
    <t>NÃO ALTERAR</t>
  </si>
  <si>
    <t>PREENCHER</t>
  </si>
  <si>
    <t>DATA ADMISSAO/MUDANÇA COTISTA NO PASSADO</t>
  </si>
  <si>
    <t>OBSERVAÇÃO DE SALDO DE PERÍODOS ANTERIORES</t>
  </si>
  <si>
    <t>ALESSANDRO PEREIRA MOREIRA</t>
  </si>
  <si>
    <t>Rótulos de Linha</t>
  </si>
  <si>
    <t>(vazio)</t>
  </si>
  <si>
    <t>Total Geral</t>
  </si>
  <si>
    <t>OK</t>
  </si>
  <si>
    <t>vai ser coordenadores</t>
  </si>
  <si>
    <t>VAI INFORMAR</t>
  </si>
  <si>
    <t xml:space="preserve">NÃO TEM </t>
  </si>
  <si>
    <t xml:space="preserve">EXCLUIDO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</si>
</sst>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vertical="center" wrapText="1"/>
    </xf>
    <xf numFmtId="1" fontId="0" fillId="0" borderId="1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2" fillId="4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Vírgula 2" xfId="1" xr:uid="{FF08337B-0E4E-4282-8E63-F3E7E79960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shington Moreira Maciel" refreshedDate="46099.518434953701" createdVersion="8" refreshedVersion="8" minRefreshableVersion="3" recordCount="92" xr:uid="{8EBB240A-7F3D-49EB-BE07-062BE429396E}">
  <cacheSource type="worksheet">
    <worksheetSource ref="A1:B1048576" sheet="Planilha2"/>
  </cacheSource>
  <cacheFields count="2">
    <cacheField name="LIDER DIRETO" numFmtId="0">
      <sharedItems containsBlank="1" count="15">
        <s v="TULIO RAFAEL MORAIS"/>
        <s v="EDUARDO DOS REIS ELER"/>
        <s v="LUCAS ANDRADE BATISTA"/>
        <s v="DIEGO FIRME BERNARDES"/>
        <s v="THALES SANDER CARVALHO DE PÁDUA"/>
        <s v="ALEX POSSIDONIO DA SILVA"/>
        <s v="ALESSANDRO PEREIRA MOREIRA"/>
        <s v="PAULO CEZAR DE PAIVA NETO"/>
        <s v="DIOGO HENRIQUE SOARES"/>
        <s v="JULIO CESAR"/>
        <s v="LEONARDO AUGUSTO OLIVEIRA DRUMOND"/>
        <s v="MATEUS FILIPE CORRADI DE MORAIS"/>
        <s v="PEDRO HENRIQUE BOSCO NERY"/>
        <s v="SILAS MOREIRA TUPINAMBÁ"/>
        <m/>
      </sharedItems>
    </cacheField>
    <cacheField name="GERENCIA/DIRETORIA" numFmtId="0">
      <sharedItems containsBlank="1" count="8">
        <s v="LEONARDO AUGUSTO OLIVEIRA DRUMOND"/>
        <s v="EDUARDO REIS ELER"/>
        <s v="PEDRO HENRIQUE BRAGA DE MORAIS"/>
        <s v="DIEGO FIRME BERNARDES"/>
        <s v="PAULO CEZAR DE PAIVA NETO"/>
        <s v="JULIO CESAR"/>
        <s v="PEDRO HENRIQUE BOSCO NER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x v="0"/>
    <x v="0"/>
  </r>
  <r>
    <x v="0"/>
    <x v="0"/>
  </r>
  <r>
    <x v="1"/>
    <x v="1"/>
  </r>
  <r>
    <x v="2"/>
    <x v="2"/>
  </r>
  <r>
    <x v="3"/>
    <x v="3"/>
  </r>
  <r>
    <x v="4"/>
    <x v="1"/>
  </r>
  <r>
    <x v="4"/>
    <x v="1"/>
  </r>
  <r>
    <x v="4"/>
    <x v="1"/>
  </r>
  <r>
    <x v="4"/>
    <x v="1"/>
  </r>
  <r>
    <x v="5"/>
    <x v="3"/>
  </r>
  <r>
    <x v="6"/>
    <x v="0"/>
  </r>
  <r>
    <x v="6"/>
    <x v="0"/>
  </r>
  <r>
    <x v="7"/>
    <x v="4"/>
  </r>
  <r>
    <x v="3"/>
    <x v="2"/>
  </r>
  <r>
    <x v="3"/>
    <x v="2"/>
  </r>
  <r>
    <x v="1"/>
    <x v="1"/>
  </r>
  <r>
    <x v="0"/>
    <x v="0"/>
  </r>
  <r>
    <x v="8"/>
    <x v="0"/>
  </r>
  <r>
    <x v="1"/>
    <x v="2"/>
  </r>
  <r>
    <x v="1"/>
    <x v="2"/>
  </r>
  <r>
    <x v="6"/>
    <x v="3"/>
  </r>
  <r>
    <x v="0"/>
    <x v="0"/>
  </r>
  <r>
    <x v="8"/>
    <x v="0"/>
  </r>
  <r>
    <x v="9"/>
    <x v="5"/>
  </r>
  <r>
    <x v="9"/>
    <x v="4"/>
  </r>
  <r>
    <x v="9"/>
    <x v="4"/>
  </r>
  <r>
    <x v="7"/>
    <x v="4"/>
  </r>
  <r>
    <x v="7"/>
    <x v="4"/>
  </r>
  <r>
    <x v="7"/>
    <x v="0"/>
  </r>
  <r>
    <x v="1"/>
    <x v="1"/>
  </r>
  <r>
    <x v="1"/>
    <x v="1"/>
  </r>
  <r>
    <x v="1"/>
    <x v="1"/>
  </r>
  <r>
    <x v="0"/>
    <x v="0"/>
  </r>
  <r>
    <x v="0"/>
    <x v="0"/>
  </r>
  <r>
    <x v="1"/>
    <x v="1"/>
  </r>
  <r>
    <x v="1"/>
    <x v="1"/>
  </r>
  <r>
    <x v="4"/>
    <x v="1"/>
  </r>
  <r>
    <x v="4"/>
    <x v="1"/>
  </r>
  <r>
    <x v="6"/>
    <x v="3"/>
  </r>
  <r>
    <x v="7"/>
    <x v="0"/>
  </r>
  <r>
    <x v="7"/>
    <x v="0"/>
  </r>
  <r>
    <x v="10"/>
    <x v="2"/>
  </r>
  <r>
    <x v="10"/>
    <x v="2"/>
  </r>
  <r>
    <x v="0"/>
    <x v="0"/>
  </r>
  <r>
    <x v="0"/>
    <x v="0"/>
  </r>
  <r>
    <x v="1"/>
    <x v="1"/>
  </r>
  <r>
    <x v="7"/>
    <x v="4"/>
  </r>
  <r>
    <x v="7"/>
    <x v="4"/>
  </r>
  <r>
    <x v="9"/>
    <x v="4"/>
  </r>
  <r>
    <x v="9"/>
    <x v="4"/>
  </r>
  <r>
    <x v="3"/>
    <x v="3"/>
  </r>
  <r>
    <x v="3"/>
    <x v="3"/>
  </r>
  <r>
    <x v="11"/>
    <x v="2"/>
  </r>
  <r>
    <x v="11"/>
    <x v="2"/>
  </r>
  <r>
    <x v="9"/>
    <x v="4"/>
  </r>
  <r>
    <x v="7"/>
    <x v="0"/>
  </r>
  <r>
    <x v="7"/>
    <x v="0"/>
  </r>
  <r>
    <x v="10"/>
    <x v="0"/>
  </r>
  <r>
    <x v="10"/>
    <x v="0"/>
  </r>
  <r>
    <x v="1"/>
    <x v="1"/>
  </r>
  <r>
    <x v="1"/>
    <x v="1"/>
  </r>
  <r>
    <x v="7"/>
    <x v="0"/>
  </r>
  <r>
    <x v="12"/>
    <x v="6"/>
  </r>
  <r>
    <x v="12"/>
    <x v="6"/>
  </r>
  <r>
    <x v="12"/>
    <x v="6"/>
  </r>
  <r>
    <x v="12"/>
    <x v="6"/>
  </r>
  <r>
    <x v="9"/>
    <x v="4"/>
  </r>
  <r>
    <x v="9"/>
    <x v="4"/>
  </r>
  <r>
    <x v="9"/>
    <x v="4"/>
  </r>
  <r>
    <x v="9"/>
    <x v="4"/>
  </r>
  <r>
    <x v="3"/>
    <x v="3"/>
  </r>
  <r>
    <x v="9"/>
    <x v="4"/>
  </r>
  <r>
    <x v="9"/>
    <x v="4"/>
  </r>
  <r>
    <x v="0"/>
    <x v="0"/>
  </r>
  <r>
    <x v="0"/>
    <x v="0"/>
  </r>
  <r>
    <x v="13"/>
    <x v="3"/>
  </r>
  <r>
    <x v="0"/>
    <x v="0"/>
  </r>
  <r>
    <x v="7"/>
    <x v="0"/>
  </r>
  <r>
    <x v="3"/>
    <x v="3"/>
  </r>
  <r>
    <x v="3"/>
    <x v="3"/>
  </r>
  <r>
    <x v="0"/>
    <x v="0"/>
  </r>
  <r>
    <x v="0"/>
    <x v="0"/>
  </r>
  <r>
    <x v="1"/>
    <x v="1"/>
  </r>
  <r>
    <x v="1"/>
    <x v="1"/>
  </r>
  <r>
    <x v="10"/>
    <x v="0"/>
  </r>
  <r>
    <x v="10"/>
    <x v="0"/>
  </r>
  <r>
    <x v="7"/>
    <x v="0"/>
  </r>
  <r>
    <x v="7"/>
    <x v="0"/>
  </r>
  <r>
    <x v="7"/>
    <x v="0"/>
  </r>
  <r>
    <x v="1"/>
    <x v="1"/>
  </r>
  <r>
    <x v="1"/>
    <x v="1"/>
  </r>
  <r>
    <x v="14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EE45F6-4003-49F7-9FAA-01A6565CD243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F17" firstHeaderRow="1" firstDataRow="1" firstDataCol="1"/>
  <pivotFields count="2">
    <pivotField axis="axisRow" showAll="0">
      <items count="16">
        <item x="6"/>
        <item x="5"/>
        <item x="3"/>
        <item x="8"/>
        <item x="1"/>
        <item x="9"/>
        <item x="10"/>
        <item x="2"/>
        <item x="11"/>
        <item x="7"/>
        <item x="12"/>
        <item x="13"/>
        <item x="4"/>
        <item x="0"/>
        <item x="14"/>
        <item t="default"/>
      </items>
    </pivotField>
    <pivotField showAll="0">
      <items count="9">
        <item x="3"/>
        <item x="1"/>
        <item x="5"/>
        <item x="0"/>
        <item x="4"/>
        <item x="6"/>
        <item x="2"/>
        <item x="7"/>
        <item t="default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1436C-08EA-47B3-8B58-EA058ED8DF6B}">
  <sheetPr filterMode="1"/>
  <dimension ref="B1:S171"/>
  <sheetViews>
    <sheetView showGridLines="0" tabSelected="1" topLeftCell="F1" zoomScale="80" zoomScaleNormal="80" workbookViewId="0">
      <selection activeCell="L93" sqref="L93"/>
    </sheetView>
  </sheetViews>
  <sheetFormatPr defaultColWidth="9.109375" defaultRowHeight="14.4" x14ac:dyDescent="0.3"/>
  <cols>
    <col min="2" max="2" width="11" bestFit="1" customWidth="1"/>
    <col min="3" max="3" width="40.44140625" bestFit="1" customWidth="1"/>
    <col min="4" max="4" width="34.109375" style="5" hidden="1" customWidth="1"/>
    <col min="5" max="5" width="39.44140625" style="5" hidden="1" customWidth="1"/>
    <col min="6" max="6" width="39.44140625" style="5" customWidth="1"/>
    <col min="7" max="7" width="23" style="1" customWidth="1"/>
    <col min="8" max="8" width="15.6640625" style="1" bestFit="1" customWidth="1"/>
    <col min="9" max="10" width="15.6640625" style="1" customWidth="1"/>
    <col min="11" max="11" width="17.6640625" style="1" bestFit="1" customWidth="1"/>
    <col min="12" max="12" width="16.109375" style="1" customWidth="1"/>
    <col min="13" max="13" width="15.6640625" style="1" customWidth="1"/>
    <col min="14" max="14" width="20.44140625" style="1" customWidth="1"/>
    <col min="15" max="15" width="16.44140625" style="1" customWidth="1"/>
    <col min="16" max="16" width="17" style="8" customWidth="1"/>
    <col min="17" max="17" width="18.33203125" style="1" customWidth="1"/>
    <col min="18" max="18" width="20.88671875" bestFit="1" customWidth="1"/>
    <col min="19" max="19" width="26" customWidth="1"/>
  </cols>
  <sheetData>
    <row r="1" spans="2:19" s="13" customFormat="1" ht="28.5" customHeight="1" x14ac:dyDescent="0.3">
      <c r="D1" s="14"/>
      <c r="E1" s="14"/>
      <c r="F1" s="14"/>
      <c r="G1" s="19" t="s">
        <v>148</v>
      </c>
      <c r="H1" s="19"/>
      <c r="I1" s="19"/>
      <c r="J1" s="19"/>
      <c r="K1" s="19"/>
      <c r="L1" s="19"/>
      <c r="M1" s="20" t="s">
        <v>149</v>
      </c>
      <c r="N1" s="20"/>
      <c r="O1" s="20"/>
      <c r="P1" s="19" t="s">
        <v>148</v>
      </c>
      <c r="Q1" s="19"/>
      <c r="R1" s="19"/>
    </row>
    <row r="2" spans="2:19" s="15" customFormat="1" ht="59.25" customHeight="1" x14ac:dyDescent="0.3">
      <c r="B2" s="7" t="s">
        <v>147</v>
      </c>
      <c r="C2" s="7" t="s">
        <v>0</v>
      </c>
      <c r="D2" s="7" t="s">
        <v>1</v>
      </c>
      <c r="E2" s="7" t="s">
        <v>134</v>
      </c>
      <c r="F2" s="7" t="s">
        <v>139</v>
      </c>
      <c r="G2" s="7" t="s">
        <v>150</v>
      </c>
      <c r="H2" s="7" t="s">
        <v>140</v>
      </c>
      <c r="I2" s="7" t="s">
        <v>141</v>
      </c>
      <c r="J2" s="7" t="s">
        <v>3</v>
      </c>
      <c r="K2" s="7" t="s">
        <v>2</v>
      </c>
      <c r="L2" s="7" t="s">
        <v>128</v>
      </c>
      <c r="M2" s="12" t="s">
        <v>127</v>
      </c>
      <c r="N2" s="12" t="s">
        <v>145</v>
      </c>
      <c r="O2" s="12" t="s">
        <v>95</v>
      </c>
      <c r="P2" s="7" t="s">
        <v>96</v>
      </c>
      <c r="Q2" s="7" t="s">
        <v>94</v>
      </c>
      <c r="R2" s="7" t="s">
        <v>146</v>
      </c>
      <c r="S2" s="7" t="s">
        <v>151</v>
      </c>
    </row>
    <row r="3" spans="2:19" hidden="1" x14ac:dyDescent="0.3">
      <c r="B3" s="2" t="s">
        <v>103</v>
      </c>
      <c r="C3" s="2" t="s">
        <v>4</v>
      </c>
      <c r="D3" s="6" t="s">
        <v>107</v>
      </c>
      <c r="E3" s="6" t="s">
        <v>136</v>
      </c>
      <c r="F3" s="6" t="s">
        <v>43</v>
      </c>
      <c r="G3" s="4">
        <v>44986</v>
      </c>
      <c r="H3" s="3">
        <v>2024</v>
      </c>
      <c r="I3" s="3">
        <v>2025</v>
      </c>
      <c r="J3" s="4">
        <f t="shared" ref="J3:J26" si="0">DATE($H3,MONTH($G3),DAY($G3))</f>
        <v>45352</v>
      </c>
      <c r="K3" s="4">
        <f t="shared" ref="K3:K26" si="1">DATE($H3+1,MONTH($G3),DAY($G3))</f>
        <v>45717</v>
      </c>
      <c r="L3" s="4">
        <v>46387</v>
      </c>
      <c r="M3" s="3">
        <v>21</v>
      </c>
      <c r="N3" s="9">
        <v>21</v>
      </c>
      <c r="O3" s="10">
        <v>46368</v>
      </c>
      <c r="P3" s="10">
        <f t="shared" ref="P3:P46" si="2">IF(OR(O3="",N3=""),"",O3+N3-1)</f>
        <v>46388</v>
      </c>
      <c r="Q3" s="9">
        <f t="shared" ref="Q3:Q34" si="3">IF($J3="","",MAX(0,$M3-SUMIFS($N:$N,$J:$J,$J3,$K:$K,$K3)))</f>
        <v>0</v>
      </c>
      <c r="R3" s="11" t="str">
        <f>IF(OR($M3="",$N3=""),"",IF($N3&gt;$M3,"EXCEDE SALDO",IF(OR($O3="",$P3=""),"OK",IF($P3&lt;$O3,"DATAS INVÁLIDAS",IF($P3&gt;$L3,"FORA DO PRAZO","OK")))))</f>
        <v>FORA DO PRAZO</v>
      </c>
      <c r="S3" s="11" t="str">
        <f>IF(OR($M3="",$N3=""),"",IF($N3&gt;$M3,"EXCEDE SALDO",IF(OR($O3="",$P3=""),"OK",IF($P3&lt;$O3,"DATAS INVÁLIDAS",IF($P3&gt;$L3,"FORA DO PRAZO","OK")))))</f>
        <v>FORA DO PRAZO</v>
      </c>
    </row>
    <row r="4" spans="2:19" hidden="1" x14ac:dyDescent="0.3">
      <c r="B4" s="2" t="s">
        <v>103</v>
      </c>
      <c r="C4" s="2" t="s">
        <v>4</v>
      </c>
      <c r="D4" s="6" t="s">
        <v>107</v>
      </c>
      <c r="E4" s="6" t="s">
        <v>136</v>
      </c>
      <c r="F4" s="6" t="s">
        <v>43</v>
      </c>
      <c r="G4" s="4">
        <v>44986</v>
      </c>
      <c r="H4" s="3">
        <v>2025</v>
      </c>
      <c r="I4" s="3">
        <v>2026</v>
      </c>
      <c r="J4" s="4">
        <f t="shared" si="0"/>
        <v>45717</v>
      </c>
      <c r="K4" s="4">
        <f t="shared" si="1"/>
        <v>46082</v>
      </c>
      <c r="L4" s="4">
        <v>46387</v>
      </c>
      <c r="M4" s="3">
        <v>35</v>
      </c>
      <c r="N4" s="9">
        <v>35</v>
      </c>
      <c r="O4" s="10">
        <v>46076</v>
      </c>
      <c r="P4" s="10">
        <f t="shared" si="2"/>
        <v>46110</v>
      </c>
      <c r="Q4" s="9">
        <f t="shared" si="3"/>
        <v>0</v>
      </c>
      <c r="R4" s="11" t="str">
        <f t="shared" ref="R4:R47" si="4">IF(OR($M4="",$N4=""),"",IF($N4&gt;$M4,"EXCEDE SALDO",IF(OR($O4="",$P4=""),"OK",IF($P4&lt;$O4,"DATAS INVÁLIDAS",IF($P4&gt;$L4,"FORA DO PRAZO","OK")))))</f>
        <v>OK</v>
      </c>
      <c r="S4" s="11" t="str">
        <f t="shared" ref="S4:S56" si="5">IF(OR($M4="",$N4=""),"",IF($N4&gt;$M4,"EXCEDE SALDO",IF(OR($O4="",$P4=""),"OK",IF($P4&lt;$O4,"DATAS INVÁLIDAS",IF($P4&gt;$L4,"FORA DO PRAZO","OK")))))</f>
        <v>OK</v>
      </c>
    </row>
    <row r="5" spans="2:19" hidden="1" x14ac:dyDescent="0.3">
      <c r="B5" s="2" t="s">
        <v>103</v>
      </c>
      <c r="C5" s="2" t="s">
        <v>5</v>
      </c>
      <c r="D5" s="6" t="s">
        <v>108</v>
      </c>
      <c r="E5" s="6" t="s">
        <v>19</v>
      </c>
      <c r="F5" s="6" t="s">
        <v>19</v>
      </c>
      <c r="G5" s="4">
        <v>45722</v>
      </c>
      <c r="H5" s="3" t="s">
        <v>142</v>
      </c>
      <c r="I5" s="3">
        <v>2026</v>
      </c>
      <c r="J5" s="4">
        <f t="shared" si="0"/>
        <v>45722</v>
      </c>
      <c r="K5" s="4">
        <f t="shared" si="1"/>
        <v>46087</v>
      </c>
      <c r="L5" s="4">
        <f t="shared" ref="L5:L11" si="6">DATE(YEAR($K5)+1,MONTH($K5),DAY($K5))</f>
        <v>46452</v>
      </c>
      <c r="M5" s="3">
        <v>21</v>
      </c>
      <c r="N5" s="3">
        <v>21</v>
      </c>
      <c r="O5" s="4">
        <v>46188</v>
      </c>
      <c r="P5" s="10">
        <f t="shared" si="2"/>
        <v>46208</v>
      </c>
      <c r="Q5" s="9">
        <f t="shared" si="3"/>
        <v>0</v>
      </c>
      <c r="R5" s="11" t="str">
        <f t="shared" si="4"/>
        <v>OK</v>
      </c>
      <c r="S5" s="11" t="str">
        <f t="shared" si="5"/>
        <v>OK</v>
      </c>
    </row>
    <row r="6" spans="2:19" hidden="1" x14ac:dyDescent="0.3">
      <c r="B6" s="2" t="s">
        <v>103</v>
      </c>
      <c r="C6" s="2" t="s">
        <v>6</v>
      </c>
      <c r="D6" s="6" t="s">
        <v>109</v>
      </c>
      <c r="E6" s="2" t="s">
        <v>44</v>
      </c>
      <c r="F6" s="6" t="s">
        <v>62</v>
      </c>
      <c r="G6" s="4">
        <v>45201</v>
      </c>
      <c r="H6" s="3">
        <v>2024</v>
      </c>
      <c r="I6" s="3">
        <v>2025</v>
      </c>
      <c r="J6" s="4">
        <f t="shared" si="0"/>
        <v>45567</v>
      </c>
      <c r="K6" s="4">
        <f t="shared" si="1"/>
        <v>45932</v>
      </c>
      <c r="L6" s="4">
        <f t="shared" si="6"/>
        <v>46297</v>
      </c>
      <c r="M6" s="3">
        <v>21</v>
      </c>
      <c r="N6" s="3">
        <v>21</v>
      </c>
      <c r="O6" s="4">
        <v>46296</v>
      </c>
      <c r="P6" s="10">
        <f t="shared" si="2"/>
        <v>46316</v>
      </c>
      <c r="Q6" s="9">
        <f t="shared" si="3"/>
        <v>0</v>
      </c>
      <c r="R6" s="11" t="str">
        <f t="shared" si="4"/>
        <v>FORA DO PRAZO</v>
      </c>
      <c r="S6" s="11" t="str">
        <f t="shared" si="5"/>
        <v>FORA DO PRAZO</v>
      </c>
    </row>
    <row r="7" spans="2:19" hidden="1" x14ac:dyDescent="0.3">
      <c r="B7" s="2" t="s">
        <v>103</v>
      </c>
      <c r="C7" s="2" t="s">
        <v>6</v>
      </c>
      <c r="D7" s="6" t="s">
        <v>109</v>
      </c>
      <c r="E7" s="2" t="s">
        <v>44</v>
      </c>
      <c r="F7" s="6" t="s">
        <v>62</v>
      </c>
      <c r="G7" s="4">
        <v>45201</v>
      </c>
      <c r="H7" s="3">
        <v>2025</v>
      </c>
      <c r="I7" s="3">
        <v>2026</v>
      </c>
      <c r="J7" s="4">
        <f t="shared" si="0"/>
        <v>45932</v>
      </c>
      <c r="K7" s="4">
        <f t="shared" si="1"/>
        <v>46297</v>
      </c>
      <c r="L7" s="4">
        <f t="shared" si="6"/>
        <v>46662</v>
      </c>
      <c r="M7" s="3">
        <v>21</v>
      </c>
      <c r="N7" s="4">
        <v>21</v>
      </c>
      <c r="O7" s="4">
        <v>46296</v>
      </c>
      <c r="P7" s="10">
        <f>IF(OR(O7="",N7=""),"",O7+N7-1)</f>
        <v>46316</v>
      </c>
      <c r="Q7" s="9">
        <f t="shared" si="3"/>
        <v>0</v>
      </c>
      <c r="R7" s="11" t="str">
        <f t="shared" si="4"/>
        <v>OK</v>
      </c>
      <c r="S7" s="11" t="str">
        <f t="shared" si="5"/>
        <v>OK</v>
      </c>
    </row>
    <row r="8" spans="2:19" hidden="1" x14ac:dyDescent="0.3">
      <c r="B8" s="2" t="s">
        <v>103</v>
      </c>
      <c r="C8" s="2" t="s">
        <v>7</v>
      </c>
      <c r="D8" s="6" t="s">
        <v>97</v>
      </c>
      <c r="E8" s="2" t="s">
        <v>7</v>
      </c>
      <c r="F8" s="6" t="s">
        <v>62</v>
      </c>
      <c r="G8" s="4">
        <v>45474</v>
      </c>
      <c r="H8" s="3" t="s">
        <v>143</v>
      </c>
      <c r="I8" s="3">
        <v>2025</v>
      </c>
      <c r="J8" s="4">
        <f t="shared" si="0"/>
        <v>45474</v>
      </c>
      <c r="K8" s="4">
        <f t="shared" si="1"/>
        <v>45839</v>
      </c>
      <c r="L8" s="4">
        <f t="shared" si="6"/>
        <v>46204</v>
      </c>
      <c r="M8" s="3">
        <v>21</v>
      </c>
      <c r="N8" s="3">
        <v>7</v>
      </c>
      <c r="O8" s="4">
        <v>45971</v>
      </c>
      <c r="P8" s="10">
        <f>IF(OR(O8="",N8=""),"",O8+N8-1)</f>
        <v>45977</v>
      </c>
      <c r="Q8" s="9">
        <f t="shared" si="3"/>
        <v>0</v>
      </c>
      <c r="R8" s="11" t="str">
        <f t="shared" si="4"/>
        <v>OK</v>
      </c>
      <c r="S8" s="11" t="str">
        <f t="shared" si="5"/>
        <v>OK</v>
      </c>
    </row>
    <row r="9" spans="2:19" hidden="1" x14ac:dyDescent="0.3">
      <c r="B9" s="2" t="s">
        <v>103</v>
      </c>
      <c r="C9" s="2" t="s">
        <v>7</v>
      </c>
      <c r="D9" s="6" t="s">
        <v>97</v>
      </c>
      <c r="E9" s="2" t="s">
        <v>7</v>
      </c>
      <c r="F9" s="6" t="s">
        <v>62</v>
      </c>
      <c r="G9" s="4">
        <v>45474</v>
      </c>
      <c r="H9" s="3" t="s">
        <v>143</v>
      </c>
      <c r="I9" s="3">
        <v>2025</v>
      </c>
      <c r="J9" s="4">
        <f t="shared" si="0"/>
        <v>45474</v>
      </c>
      <c r="K9" s="4">
        <f t="shared" si="1"/>
        <v>45839</v>
      </c>
      <c r="L9" s="4">
        <f t="shared" si="6"/>
        <v>46204</v>
      </c>
      <c r="M9" s="3">
        <v>14</v>
      </c>
      <c r="N9" s="3">
        <v>7</v>
      </c>
      <c r="O9" s="4">
        <v>46076</v>
      </c>
      <c r="P9" s="10">
        <f t="shared" si="2"/>
        <v>46082</v>
      </c>
      <c r="Q9" s="9">
        <f t="shared" si="3"/>
        <v>0</v>
      </c>
      <c r="R9" s="11" t="str">
        <f t="shared" si="4"/>
        <v>OK</v>
      </c>
      <c r="S9" s="11" t="str">
        <f t="shared" si="5"/>
        <v>OK</v>
      </c>
    </row>
    <row r="10" spans="2:19" hidden="1" x14ac:dyDescent="0.3">
      <c r="B10" s="2" t="s">
        <v>103</v>
      </c>
      <c r="C10" s="2" t="s">
        <v>7</v>
      </c>
      <c r="D10" s="6" t="s">
        <v>97</v>
      </c>
      <c r="E10" s="2" t="s">
        <v>7</v>
      </c>
      <c r="F10" s="6" t="s">
        <v>62</v>
      </c>
      <c r="G10" s="4">
        <v>45474</v>
      </c>
      <c r="H10" s="3" t="s">
        <v>143</v>
      </c>
      <c r="I10" s="3">
        <v>2025</v>
      </c>
      <c r="J10" s="4">
        <f t="shared" si="0"/>
        <v>45474</v>
      </c>
      <c r="K10" s="4">
        <f t="shared" si="1"/>
        <v>45839</v>
      </c>
      <c r="L10" s="4">
        <f t="shared" si="6"/>
        <v>46204</v>
      </c>
      <c r="M10" s="3">
        <v>7</v>
      </c>
      <c r="N10" s="3">
        <v>7</v>
      </c>
      <c r="O10" s="4">
        <v>46153</v>
      </c>
      <c r="P10" s="10">
        <f t="shared" si="2"/>
        <v>46159</v>
      </c>
      <c r="Q10" s="9">
        <f t="shared" si="3"/>
        <v>0</v>
      </c>
      <c r="R10" s="11" t="str">
        <f t="shared" si="4"/>
        <v>OK</v>
      </c>
      <c r="S10" s="11" t="str">
        <f t="shared" si="5"/>
        <v>OK</v>
      </c>
    </row>
    <row r="11" spans="2:19" hidden="1" x14ac:dyDescent="0.3">
      <c r="B11" s="2" t="s">
        <v>103</v>
      </c>
      <c r="C11" s="2" t="s">
        <v>7</v>
      </c>
      <c r="D11" s="6" t="s">
        <v>97</v>
      </c>
      <c r="E11" s="2" t="s">
        <v>7</v>
      </c>
      <c r="F11" s="6" t="s">
        <v>62</v>
      </c>
      <c r="G11" s="4">
        <v>45474</v>
      </c>
      <c r="H11" s="3">
        <v>2025</v>
      </c>
      <c r="I11" s="3">
        <v>2026</v>
      </c>
      <c r="J11" s="4">
        <f t="shared" si="0"/>
        <v>45839</v>
      </c>
      <c r="K11" s="4">
        <f t="shared" si="1"/>
        <v>46204</v>
      </c>
      <c r="L11" s="4">
        <f t="shared" si="6"/>
        <v>46569</v>
      </c>
      <c r="M11" s="3">
        <v>21</v>
      </c>
      <c r="N11" s="3">
        <v>14</v>
      </c>
      <c r="O11" s="4">
        <v>46209</v>
      </c>
      <c r="P11" s="10">
        <f t="shared" si="2"/>
        <v>46222</v>
      </c>
      <c r="Q11" s="9">
        <f t="shared" si="3"/>
        <v>0</v>
      </c>
      <c r="R11" s="11" t="str">
        <f t="shared" si="4"/>
        <v>OK</v>
      </c>
      <c r="S11" s="11" t="str">
        <f t="shared" si="5"/>
        <v>OK</v>
      </c>
    </row>
    <row r="12" spans="2:19" hidden="1" x14ac:dyDescent="0.3">
      <c r="B12" s="2" t="s">
        <v>103</v>
      </c>
      <c r="C12" s="2" t="s">
        <v>86</v>
      </c>
      <c r="D12" s="6" t="s">
        <v>99</v>
      </c>
      <c r="E12" s="6" t="s">
        <v>130</v>
      </c>
      <c r="F12" s="6" t="s">
        <v>19</v>
      </c>
      <c r="G12" s="4">
        <v>45903</v>
      </c>
      <c r="H12" s="3" t="s">
        <v>142</v>
      </c>
      <c r="I12" s="3">
        <v>2026</v>
      </c>
      <c r="J12" s="4">
        <f t="shared" si="0"/>
        <v>45903</v>
      </c>
      <c r="K12" s="4">
        <f t="shared" si="1"/>
        <v>46268</v>
      </c>
      <c r="L12" s="4">
        <v>46387</v>
      </c>
      <c r="M12" s="3">
        <v>7</v>
      </c>
      <c r="N12" s="3">
        <v>7</v>
      </c>
      <c r="O12" s="4">
        <v>46090</v>
      </c>
      <c r="P12" s="10">
        <f t="shared" si="2"/>
        <v>46096</v>
      </c>
      <c r="Q12" s="9">
        <f t="shared" si="3"/>
        <v>0</v>
      </c>
      <c r="R12" s="11" t="str">
        <f t="shared" si="4"/>
        <v>OK</v>
      </c>
      <c r="S12" s="11" t="str">
        <f t="shared" si="5"/>
        <v>OK</v>
      </c>
    </row>
    <row r="13" spans="2:19" ht="15" hidden="1" customHeight="1" x14ac:dyDescent="0.3">
      <c r="B13" s="2" t="s">
        <v>103</v>
      </c>
      <c r="C13" s="2" t="s">
        <v>10</v>
      </c>
      <c r="D13" s="6" t="s">
        <v>99</v>
      </c>
      <c r="E13" s="6" t="s">
        <v>136</v>
      </c>
      <c r="F13" s="6" t="s">
        <v>43</v>
      </c>
      <c r="G13" s="4">
        <v>45684</v>
      </c>
      <c r="H13" s="3" t="s">
        <v>142</v>
      </c>
      <c r="I13" s="3">
        <v>2026</v>
      </c>
      <c r="J13" s="4">
        <f t="shared" si="0"/>
        <v>45684</v>
      </c>
      <c r="K13" s="4">
        <f t="shared" si="1"/>
        <v>46049</v>
      </c>
      <c r="L13" s="4">
        <f>DATE(YEAR($K13)+1,MONTH($K13),DAY($K13))</f>
        <v>46414</v>
      </c>
      <c r="M13" s="3">
        <v>6</v>
      </c>
      <c r="N13" s="3">
        <v>6</v>
      </c>
      <c r="O13" s="4">
        <v>46118</v>
      </c>
      <c r="P13" s="10">
        <f t="shared" si="2"/>
        <v>46123</v>
      </c>
      <c r="Q13" s="9">
        <f t="shared" si="3"/>
        <v>0</v>
      </c>
      <c r="R13" s="11" t="str">
        <f t="shared" si="4"/>
        <v>OK</v>
      </c>
      <c r="S13" s="11" t="str">
        <f t="shared" si="5"/>
        <v>OK</v>
      </c>
    </row>
    <row r="14" spans="2:19" ht="15" hidden="1" customHeight="1" x14ac:dyDescent="0.3">
      <c r="B14" s="2" t="s">
        <v>103</v>
      </c>
      <c r="C14" s="2" t="s">
        <v>11</v>
      </c>
      <c r="D14" s="6" t="s">
        <v>111</v>
      </c>
      <c r="E14" s="6" t="s">
        <v>21</v>
      </c>
      <c r="F14" s="6" t="s">
        <v>43</v>
      </c>
      <c r="G14" s="4">
        <v>45131</v>
      </c>
      <c r="H14" s="3">
        <v>2024</v>
      </c>
      <c r="I14" s="3">
        <v>2025</v>
      </c>
      <c r="J14" s="4">
        <f t="shared" si="0"/>
        <v>45497</v>
      </c>
      <c r="K14" s="4">
        <f t="shared" si="1"/>
        <v>45862</v>
      </c>
      <c r="L14" s="4">
        <v>46387</v>
      </c>
      <c r="M14" s="16">
        <v>21</v>
      </c>
      <c r="N14" s="16">
        <v>21</v>
      </c>
      <c r="O14" s="4">
        <v>46235</v>
      </c>
      <c r="P14" s="10">
        <f t="shared" si="2"/>
        <v>46255</v>
      </c>
      <c r="Q14" s="9">
        <f t="shared" si="3"/>
        <v>0</v>
      </c>
      <c r="R14" s="11" t="str">
        <f t="shared" si="4"/>
        <v>OK</v>
      </c>
      <c r="S14" s="11" t="str">
        <f t="shared" si="5"/>
        <v>OK</v>
      </c>
    </row>
    <row r="15" spans="2:19" ht="15" hidden="1" customHeight="1" x14ac:dyDescent="0.3">
      <c r="B15" s="2" t="s">
        <v>103</v>
      </c>
      <c r="C15" s="2" t="s">
        <v>12</v>
      </c>
      <c r="D15" s="6" t="s">
        <v>112</v>
      </c>
      <c r="E15" s="6" t="s">
        <v>70</v>
      </c>
      <c r="F15" s="6" t="s">
        <v>13</v>
      </c>
      <c r="G15" s="4">
        <v>45722</v>
      </c>
      <c r="H15" s="3" t="s">
        <v>142</v>
      </c>
      <c r="I15" s="3">
        <v>2026</v>
      </c>
      <c r="J15" s="4">
        <f t="shared" si="0"/>
        <v>45722</v>
      </c>
      <c r="K15" s="4">
        <f t="shared" si="1"/>
        <v>46087</v>
      </c>
      <c r="L15" s="4">
        <f>DATE(YEAR($K15)+1,MONTH($K15),DAY($K15))</f>
        <v>46452</v>
      </c>
      <c r="M15" s="3">
        <v>21</v>
      </c>
      <c r="N15" s="3">
        <v>21</v>
      </c>
      <c r="O15" s="4">
        <v>46076</v>
      </c>
      <c r="P15" s="10">
        <f t="shared" si="2"/>
        <v>46096</v>
      </c>
      <c r="Q15" s="9">
        <f t="shared" si="3"/>
        <v>0</v>
      </c>
      <c r="R15" s="11" t="str">
        <f t="shared" si="4"/>
        <v>OK</v>
      </c>
      <c r="S15" s="11" t="str">
        <f t="shared" si="5"/>
        <v>OK</v>
      </c>
    </row>
    <row r="16" spans="2:19" ht="15" hidden="1" customHeight="1" x14ac:dyDescent="0.3">
      <c r="B16" s="2" t="s">
        <v>103</v>
      </c>
      <c r="C16" s="2" t="s">
        <v>13</v>
      </c>
      <c r="D16" s="6" t="s">
        <v>113</v>
      </c>
      <c r="E16" s="2" t="s">
        <v>13</v>
      </c>
      <c r="F16" s="6" t="s">
        <v>62</v>
      </c>
      <c r="G16" s="4">
        <v>44750</v>
      </c>
      <c r="H16" s="3">
        <v>2024</v>
      </c>
      <c r="I16" s="3">
        <v>2025</v>
      </c>
      <c r="J16" s="4">
        <f t="shared" si="0"/>
        <v>45481</v>
      </c>
      <c r="K16" s="4">
        <f t="shared" si="1"/>
        <v>45846</v>
      </c>
      <c r="L16" s="4">
        <f>DATE(YEAR($K16)+1,MONTH($K16),DAY($K16))</f>
        <v>46211</v>
      </c>
      <c r="M16" s="3">
        <v>15</v>
      </c>
      <c r="N16" s="3">
        <v>15</v>
      </c>
      <c r="O16" s="4">
        <v>46223</v>
      </c>
      <c r="P16" s="10">
        <f t="shared" si="2"/>
        <v>46237</v>
      </c>
      <c r="Q16" s="9">
        <f t="shared" si="3"/>
        <v>0</v>
      </c>
      <c r="R16" s="11" t="str">
        <f t="shared" si="4"/>
        <v>FORA DO PRAZO</v>
      </c>
      <c r="S16" s="11" t="str">
        <f t="shared" si="5"/>
        <v>FORA DO PRAZO</v>
      </c>
    </row>
    <row r="17" spans="2:19" ht="15" hidden="1" customHeight="1" x14ac:dyDescent="0.3">
      <c r="B17" s="2" t="s">
        <v>103</v>
      </c>
      <c r="C17" s="2" t="s">
        <v>13</v>
      </c>
      <c r="D17" s="6" t="s">
        <v>113</v>
      </c>
      <c r="E17" s="2" t="s">
        <v>13</v>
      </c>
      <c r="F17" s="6" t="s">
        <v>62</v>
      </c>
      <c r="G17" s="4">
        <v>44750</v>
      </c>
      <c r="H17" s="3">
        <v>2024</v>
      </c>
      <c r="I17" s="3">
        <v>2025</v>
      </c>
      <c r="J17" s="4">
        <f t="shared" si="0"/>
        <v>45481</v>
      </c>
      <c r="K17" s="4">
        <f t="shared" si="1"/>
        <v>45846</v>
      </c>
      <c r="L17" s="4">
        <f>DATE(YEAR($K17)+1,MONTH($K17),DAY($K17))</f>
        <v>46211</v>
      </c>
      <c r="M17" s="3">
        <v>7</v>
      </c>
      <c r="N17" s="3">
        <v>7</v>
      </c>
      <c r="O17" s="4">
        <v>46279</v>
      </c>
      <c r="P17" s="10">
        <f t="shared" si="2"/>
        <v>46285</v>
      </c>
      <c r="Q17" s="9">
        <f t="shared" si="3"/>
        <v>0</v>
      </c>
      <c r="R17" s="11" t="str">
        <f t="shared" si="4"/>
        <v>FORA DO PRAZO</v>
      </c>
      <c r="S17" s="11" t="str">
        <f t="shared" si="5"/>
        <v>FORA DO PRAZO</v>
      </c>
    </row>
    <row r="18" spans="2:19" ht="15" hidden="1" customHeight="1" x14ac:dyDescent="0.3">
      <c r="B18" s="2" t="s">
        <v>103</v>
      </c>
      <c r="C18" s="2" t="s">
        <v>13</v>
      </c>
      <c r="D18" s="6" t="s">
        <v>113</v>
      </c>
      <c r="E18" s="2" t="s">
        <v>13</v>
      </c>
      <c r="F18" s="6" t="s">
        <v>62</v>
      </c>
      <c r="G18" s="4">
        <v>44750</v>
      </c>
      <c r="H18" s="3">
        <v>2025</v>
      </c>
      <c r="I18" s="3">
        <v>2026</v>
      </c>
      <c r="J18" s="4">
        <f t="shared" si="0"/>
        <v>45846</v>
      </c>
      <c r="K18" s="4">
        <f t="shared" si="1"/>
        <v>46211</v>
      </c>
      <c r="L18" s="4">
        <f>DATE(YEAR($K18)+1,MONTH($K18),DAY($K18))</f>
        <v>46576</v>
      </c>
      <c r="M18" s="3">
        <v>14</v>
      </c>
      <c r="N18" s="3">
        <v>14</v>
      </c>
      <c r="O18" s="4">
        <v>46384</v>
      </c>
      <c r="P18" s="10">
        <f t="shared" si="2"/>
        <v>46397</v>
      </c>
      <c r="Q18" s="9">
        <f t="shared" si="3"/>
        <v>0</v>
      </c>
      <c r="R18" s="11" t="str">
        <f t="shared" si="4"/>
        <v>OK</v>
      </c>
      <c r="S18" s="11" t="str">
        <f t="shared" si="5"/>
        <v>OK</v>
      </c>
    </row>
    <row r="19" spans="2:19" hidden="1" x14ac:dyDescent="0.3">
      <c r="B19" s="2" t="s">
        <v>103</v>
      </c>
      <c r="C19" s="2" t="s">
        <v>14</v>
      </c>
      <c r="D19" s="6" t="s">
        <v>111</v>
      </c>
      <c r="E19" s="6" t="s">
        <v>152</v>
      </c>
      <c r="F19" s="6" t="s">
        <v>43</v>
      </c>
      <c r="G19" s="4">
        <v>45198</v>
      </c>
      <c r="H19" s="3">
        <v>2024</v>
      </c>
      <c r="I19" s="3">
        <v>2025</v>
      </c>
      <c r="J19" s="4">
        <f t="shared" si="0"/>
        <v>45564</v>
      </c>
      <c r="K19" s="4">
        <f t="shared" si="1"/>
        <v>45929</v>
      </c>
      <c r="L19" s="4">
        <v>46387</v>
      </c>
      <c r="M19" s="3">
        <v>4</v>
      </c>
      <c r="N19" s="3">
        <v>4</v>
      </c>
      <c r="O19" s="4">
        <v>46139</v>
      </c>
      <c r="P19" s="10">
        <f t="shared" si="2"/>
        <v>46142</v>
      </c>
      <c r="Q19" s="9">
        <f t="shared" si="3"/>
        <v>0</v>
      </c>
      <c r="R19" s="11" t="str">
        <f t="shared" si="4"/>
        <v>OK</v>
      </c>
      <c r="S19" s="11" t="str">
        <f t="shared" si="5"/>
        <v>OK</v>
      </c>
    </row>
    <row r="20" spans="2:19" hidden="1" x14ac:dyDescent="0.3">
      <c r="B20" s="2" t="s">
        <v>103</v>
      </c>
      <c r="C20" s="2" t="s">
        <v>14</v>
      </c>
      <c r="D20" s="6" t="s">
        <v>111</v>
      </c>
      <c r="E20" s="6" t="s">
        <v>152</v>
      </c>
      <c r="F20" s="6" t="s">
        <v>43</v>
      </c>
      <c r="G20" s="4">
        <v>45198</v>
      </c>
      <c r="H20" s="3">
        <v>2025</v>
      </c>
      <c r="I20" s="3">
        <v>2026</v>
      </c>
      <c r="J20" s="4">
        <f t="shared" si="0"/>
        <v>45929</v>
      </c>
      <c r="K20" s="4">
        <f t="shared" si="1"/>
        <v>46294</v>
      </c>
      <c r="L20" s="4">
        <v>46387</v>
      </c>
      <c r="M20" s="3">
        <v>21</v>
      </c>
      <c r="N20" s="3">
        <v>21</v>
      </c>
      <c r="O20" s="4">
        <v>46143</v>
      </c>
      <c r="P20" s="10">
        <f t="shared" si="2"/>
        <v>46163</v>
      </c>
      <c r="Q20" s="9">
        <f t="shared" si="3"/>
        <v>0</v>
      </c>
      <c r="R20" s="11" t="str">
        <f t="shared" si="4"/>
        <v>OK</v>
      </c>
      <c r="S20" s="11" t="str">
        <f t="shared" si="5"/>
        <v>OK</v>
      </c>
    </row>
    <row r="21" spans="2:19" hidden="1" x14ac:dyDescent="0.3">
      <c r="B21" s="2" t="s">
        <v>103</v>
      </c>
      <c r="C21" s="2" t="s">
        <v>15</v>
      </c>
      <c r="D21" s="6" t="s">
        <v>100</v>
      </c>
      <c r="E21" s="2" t="s">
        <v>15</v>
      </c>
      <c r="F21" s="6" t="s">
        <v>62</v>
      </c>
      <c r="G21" s="4">
        <v>44797</v>
      </c>
      <c r="H21" s="3">
        <v>2024</v>
      </c>
      <c r="I21" s="3">
        <v>2025</v>
      </c>
      <c r="J21" s="4">
        <f t="shared" si="0"/>
        <v>45528</v>
      </c>
      <c r="K21" s="4">
        <f t="shared" si="1"/>
        <v>45893</v>
      </c>
      <c r="L21" s="4">
        <f>DATE(YEAR($K21)+1,MONTH($K21),DAY($K21))</f>
        <v>46258</v>
      </c>
      <c r="M21" s="3">
        <v>7</v>
      </c>
      <c r="N21" s="3">
        <v>7</v>
      </c>
      <c r="O21" s="4">
        <v>46163</v>
      </c>
      <c r="P21" s="10">
        <f t="shared" si="2"/>
        <v>46169</v>
      </c>
      <c r="Q21" s="9">
        <f t="shared" si="3"/>
        <v>0</v>
      </c>
      <c r="R21" s="11" t="str">
        <f t="shared" si="4"/>
        <v>OK</v>
      </c>
      <c r="S21" s="11" t="str">
        <f t="shared" si="5"/>
        <v>OK</v>
      </c>
    </row>
    <row r="22" spans="2:19" hidden="1" x14ac:dyDescent="0.3">
      <c r="B22" s="2" t="s">
        <v>103</v>
      </c>
      <c r="C22" s="2" t="s">
        <v>15</v>
      </c>
      <c r="D22" s="6" t="s">
        <v>100</v>
      </c>
      <c r="E22" s="2" t="s">
        <v>15</v>
      </c>
      <c r="F22" s="6" t="s">
        <v>62</v>
      </c>
      <c r="G22" s="4">
        <v>44797</v>
      </c>
      <c r="H22" s="3">
        <v>2024</v>
      </c>
      <c r="I22" s="3">
        <v>2025</v>
      </c>
      <c r="J22" s="4">
        <f t="shared" si="0"/>
        <v>45528</v>
      </c>
      <c r="K22" s="4">
        <f t="shared" si="1"/>
        <v>45893</v>
      </c>
      <c r="L22" s="4">
        <f>DATE(YEAR($K22)+1,MONTH($K22),DAY($K22))</f>
        <v>46258</v>
      </c>
      <c r="M22" s="3">
        <v>21</v>
      </c>
      <c r="N22" s="3">
        <v>7</v>
      </c>
      <c r="O22" s="4">
        <v>46170</v>
      </c>
      <c r="P22" s="10">
        <f t="shared" si="2"/>
        <v>46176</v>
      </c>
      <c r="Q22" s="9">
        <f t="shared" si="3"/>
        <v>7</v>
      </c>
      <c r="R22" s="11" t="str">
        <f t="shared" si="4"/>
        <v>OK</v>
      </c>
      <c r="S22" s="11" t="str">
        <f t="shared" si="5"/>
        <v>OK</v>
      </c>
    </row>
    <row r="23" spans="2:19" hidden="1" x14ac:dyDescent="0.3">
      <c r="B23" s="2" t="s">
        <v>103</v>
      </c>
      <c r="C23" s="2" t="s">
        <v>15</v>
      </c>
      <c r="D23" s="6" t="s">
        <v>100</v>
      </c>
      <c r="E23" s="2" t="s">
        <v>15</v>
      </c>
      <c r="F23" s="6" t="s">
        <v>62</v>
      </c>
      <c r="G23" s="4">
        <v>44797</v>
      </c>
      <c r="H23" s="3">
        <v>2025</v>
      </c>
      <c r="I23" s="3">
        <v>2026</v>
      </c>
      <c r="J23" s="4">
        <f t="shared" si="0"/>
        <v>45893</v>
      </c>
      <c r="K23" s="4">
        <f t="shared" si="1"/>
        <v>46258</v>
      </c>
      <c r="L23" s="4">
        <f>DATE(YEAR($K23)+1,MONTH($K23),DAY($K23))</f>
        <v>46623</v>
      </c>
      <c r="M23" s="3">
        <v>14</v>
      </c>
      <c r="N23" s="3">
        <v>7</v>
      </c>
      <c r="O23" s="4">
        <v>46339</v>
      </c>
      <c r="P23" s="10">
        <f t="shared" si="2"/>
        <v>46345</v>
      </c>
      <c r="Q23" s="9">
        <f t="shared" si="3"/>
        <v>7</v>
      </c>
      <c r="R23" s="11" t="str">
        <f t="shared" si="4"/>
        <v>OK</v>
      </c>
      <c r="S23" s="11" t="str">
        <f t="shared" si="5"/>
        <v>OK</v>
      </c>
    </row>
    <row r="24" spans="2:19" hidden="1" x14ac:dyDescent="0.3">
      <c r="B24" s="2" t="s">
        <v>103</v>
      </c>
      <c r="C24" s="2" t="s">
        <v>16</v>
      </c>
      <c r="D24" s="6" t="s">
        <v>107</v>
      </c>
      <c r="E24" s="6" t="s">
        <v>70</v>
      </c>
      <c r="F24" s="6" t="s">
        <v>13</v>
      </c>
      <c r="G24" s="4">
        <v>45722</v>
      </c>
      <c r="H24" s="3" t="s">
        <v>142</v>
      </c>
      <c r="I24" s="3">
        <v>2026</v>
      </c>
      <c r="J24" s="4">
        <f t="shared" si="0"/>
        <v>45722</v>
      </c>
      <c r="K24" s="4">
        <f t="shared" si="1"/>
        <v>46087</v>
      </c>
      <c r="L24" s="4">
        <f>DATE(YEAR($K24)+1,MONTH($K24),DAY($K24))</f>
        <v>46452</v>
      </c>
      <c r="M24" s="3">
        <v>21</v>
      </c>
      <c r="N24" s="3">
        <v>14</v>
      </c>
      <c r="O24" s="4">
        <v>46209</v>
      </c>
      <c r="P24" s="10">
        <f t="shared" si="2"/>
        <v>46222</v>
      </c>
      <c r="Q24" s="9">
        <f t="shared" si="3"/>
        <v>0</v>
      </c>
      <c r="R24" s="11" t="str">
        <f t="shared" si="4"/>
        <v>OK</v>
      </c>
      <c r="S24" s="11" t="str">
        <f t="shared" si="5"/>
        <v>OK</v>
      </c>
    </row>
    <row r="25" spans="2:19" hidden="1" x14ac:dyDescent="0.3">
      <c r="B25" s="2" t="s">
        <v>103</v>
      </c>
      <c r="C25" s="2" t="s">
        <v>16</v>
      </c>
      <c r="D25" s="6" t="s">
        <v>107</v>
      </c>
      <c r="E25" s="6" t="s">
        <v>70</v>
      </c>
      <c r="F25" s="6" t="s">
        <v>13</v>
      </c>
      <c r="G25" s="4">
        <v>45722</v>
      </c>
      <c r="H25" s="3" t="s">
        <v>142</v>
      </c>
      <c r="I25" s="3">
        <v>2026</v>
      </c>
      <c r="J25" s="4">
        <f t="shared" si="0"/>
        <v>45722</v>
      </c>
      <c r="K25" s="4">
        <f t="shared" si="1"/>
        <v>46087</v>
      </c>
      <c r="L25" s="4">
        <f>DATE(YEAR($K25)+1,MONTH($K25),DAY($K25))</f>
        <v>46452</v>
      </c>
      <c r="M25" s="3">
        <v>7</v>
      </c>
      <c r="N25" s="3">
        <v>7</v>
      </c>
      <c r="O25" s="4">
        <v>46293</v>
      </c>
      <c r="P25" s="10">
        <f t="shared" si="2"/>
        <v>46299</v>
      </c>
      <c r="Q25" s="9">
        <f t="shared" si="3"/>
        <v>0</v>
      </c>
      <c r="R25" s="11" t="str">
        <f t="shared" si="4"/>
        <v>OK</v>
      </c>
      <c r="S25" s="11" t="str">
        <f t="shared" si="5"/>
        <v>OK</v>
      </c>
    </row>
    <row r="26" spans="2:19" hidden="1" x14ac:dyDescent="0.3">
      <c r="B26" s="2" t="s">
        <v>103</v>
      </c>
      <c r="C26" s="2" t="s">
        <v>18</v>
      </c>
      <c r="D26" s="6" t="s">
        <v>99</v>
      </c>
      <c r="E26" s="6" t="s">
        <v>130</v>
      </c>
      <c r="F26" s="6" t="s">
        <v>19</v>
      </c>
      <c r="G26" s="4">
        <v>45511</v>
      </c>
      <c r="H26" s="3" t="s">
        <v>143</v>
      </c>
      <c r="I26" s="3">
        <v>2025</v>
      </c>
      <c r="J26" s="4">
        <f t="shared" si="0"/>
        <v>45511</v>
      </c>
      <c r="K26" s="4">
        <f t="shared" si="1"/>
        <v>45876</v>
      </c>
      <c r="L26" s="4">
        <v>46387</v>
      </c>
      <c r="M26" s="3">
        <v>6</v>
      </c>
      <c r="N26" s="3">
        <v>6</v>
      </c>
      <c r="O26" s="4">
        <v>46118</v>
      </c>
      <c r="P26" s="10">
        <f t="shared" si="2"/>
        <v>46123</v>
      </c>
      <c r="Q26" s="9">
        <f t="shared" si="3"/>
        <v>0</v>
      </c>
      <c r="R26" s="11" t="str">
        <f t="shared" si="4"/>
        <v>OK</v>
      </c>
      <c r="S26" s="11" t="str">
        <f t="shared" si="5"/>
        <v>OK</v>
      </c>
    </row>
    <row r="27" spans="2:19" hidden="1" x14ac:dyDescent="0.3">
      <c r="B27" s="2" t="s">
        <v>103</v>
      </c>
      <c r="C27" s="2" t="s">
        <v>18</v>
      </c>
      <c r="D27" s="6" t="s">
        <v>99</v>
      </c>
      <c r="E27" s="6" t="s">
        <v>130</v>
      </c>
      <c r="F27" s="6" t="s">
        <v>19</v>
      </c>
      <c r="G27" s="4">
        <v>45511</v>
      </c>
      <c r="H27" s="3">
        <v>2025</v>
      </c>
      <c r="I27" s="3">
        <v>2026</v>
      </c>
      <c r="J27" s="4">
        <f t="shared" ref="J27:J46" si="7">DATE($H27,MONTH($G27),DAY($G27))</f>
        <v>45876</v>
      </c>
      <c r="K27" s="4">
        <f t="shared" ref="K27:K46" si="8">DATE($H27+1,MONTH($G27),DAY($G27))</f>
        <v>46241</v>
      </c>
      <c r="L27" s="4">
        <v>46387</v>
      </c>
      <c r="M27" s="16">
        <f>(5*1.75)</f>
        <v>8.75</v>
      </c>
      <c r="N27" s="16">
        <f>M27</f>
        <v>8.75</v>
      </c>
      <c r="O27" s="4">
        <f>P26+1</f>
        <v>46124</v>
      </c>
      <c r="P27" s="10">
        <f t="shared" si="2"/>
        <v>46131.75</v>
      </c>
      <c r="Q27" s="9">
        <f t="shared" si="3"/>
        <v>0</v>
      </c>
      <c r="R27" s="11" t="str">
        <f t="shared" si="4"/>
        <v>OK</v>
      </c>
      <c r="S27" s="11" t="str">
        <f t="shared" si="5"/>
        <v>OK</v>
      </c>
    </row>
    <row r="28" spans="2:19" hidden="1" x14ac:dyDescent="0.3">
      <c r="B28" s="2" t="s">
        <v>103</v>
      </c>
      <c r="C28" s="2" t="s">
        <v>21</v>
      </c>
      <c r="D28" s="6" t="s">
        <v>106</v>
      </c>
      <c r="E28" s="6" t="s">
        <v>43</v>
      </c>
      <c r="F28" s="6" t="s">
        <v>43</v>
      </c>
      <c r="G28" s="4">
        <v>44907</v>
      </c>
      <c r="H28" s="3">
        <v>2024</v>
      </c>
      <c r="I28" s="3">
        <v>2025</v>
      </c>
      <c r="J28" s="4">
        <f t="shared" si="7"/>
        <v>45638</v>
      </c>
      <c r="K28" s="4">
        <f t="shared" si="8"/>
        <v>46003</v>
      </c>
      <c r="L28" s="4">
        <f>DATE(YEAR($K28)+1,MONTH($K28),DAY($K28))</f>
        <v>46368</v>
      </c>
      <c r="M28" s="3">
        <v>10</v>
      </c>
      <c r="N28" s="3">
        <v>10</v>
      </c>
      <c r="O28" s="4">
        <v>46316</v>
      </c>
      <c r="P28" s="10">
        <f t="shared" si="2"/>
        <v>46325</v>
      </c>
      <c r="Q28" s="9">
        <f t="shared" si="3"/>
        <v>0</v>
      </c>
      <c r="R28" s="11" t="str">
        <f t="shared" si="4"/>
        <v>OK</v>
      </c>
      <c r="S28" s="11" t="str">
        <f t="shared" si="5"/>
        <v>OK</v>
      </c>
    </row>
    <row r="29" spans="2:19" hidden="1" x14ac:dyDescent="0.3">
      <c r="B29" s="2" t="s">
        <v>103</v>
      </c>
      <c r="C29" s="2" t="s">
        <v>21</v>
      </c>
      <c r="D29" s="6" t="s">
        <v>106</v>
      </c>
      <c r="E29" s="6" t="s">
        <v>43</v>
      </c>
      <c r="F29" s="6" t="s">
        <v>43</v>
      </c>
      <c r="G29" s="4">
        <v>44907</v>
      </c>
      <c r="H29" s="3">
        <v>2025</v>
      </c>
      <c r="I29" s="3">
        <v>2026</v>
      </c>
      <c r="J29" s="4">
        <f t="shared" si="7"/>
        <v>46003</v>
      </c>
      <c r="K29" s="4">
        <f t="shared" si="8"/>
        <v>46368</v>
      </c>
      <c r="L29" s="4">
        <f>DATE(YEAR($K29)+1,MONTH($K29),DAY($K29))</f>
        <v>46733</v>
      </c>
      <c r="M29" s="3">
        <v>21</v>
      </c>
      <c r="N29" s="3">
        <v>21</v>
      </c>
      <c r="O29" s="4">
        <v>46207</v>
      </c>
      <c r="P29" s="10">
        <f t="shared" si="2"/>
        <v>46227</v>
      </c>
      <c r="Q29" s="9">
        <f t="shared" si="3"/>
        <v>0</v>
      </c>
      <c r="R29" s="11" t="str">
        <f t="shared" si="4"/>
        <v>OK</v>
      </c>
      <c r="S29" s="11" t="str">
        <f t="shared" si="5"/>
        <v>OK</v>
      </c>
    </row>
    <row r="30" spans="2:19" hidden="1" x14ac:dyDescent="0.3">
      <c r="B30" s="2" t="s">
        <v>103</v>
      </c>
      <c r="C30" s="2" t="s">
        <v>85</v>
      </c>
      <c r="D30" s="6" t="s">
        <v>111</v>
      </c>
      <c r="E30" s="6" t="s">
        <v>21</v>
      </c>
      <c r="F30" s="6" t="s">
        <v>43</v>
      </c>
      <c r="G30" s="4">
        <v>45889</v>
      </c>
      <c r="H30" s="3" t="s">
        <v>142</v>
      </c>
      <c r="I30" s="3">
        <v>2026</v>
      </c>
      <c r="J30" s="4">
        <f t="shared" si="7"/>
        <v>45889</v>
      </c>
      <c r="K30" s="4">
        <f t="shared" si="8"/>
        <v>46254</v>
      </c>
      <c r="L30" s="4">
        <v>46387</v>
      </c>
      <c r="M30" s="3">
        <v>0</v>
      </c>
      <c r="N30" s="3">
        <v>0</v>
      </c>
      <c r="O30" s="4"/>
      <c r="P30" s="10" t="str">
        <f t="shared" si="2"/>
        <v/>
      </c>
      <c r="Q30" s="9">
        <f t="shared" si="3"/>
        <v>0</v>
      </c>
      <c r="R30" s="11" t="str">
        <f t="shared" si="4"/>
        <v>OK</v>
      </c>
      <c r="S30" s="11" t="str">
        <f t="shared" si="5"/>
        <v>OK</v>
      </c>
    </row>
    <row r="31" spans="2:19" hidden="1" x14ac:dyDescent="0.3">
      <c r="B31" s="2" t="s">
        <v>103</v>
      </c>
      <c r="C31" s="2" t="s">
        <v>23</v>
      </c>
      <c r="D31" s="6" t="s">
        <v>101</v>
      </c>
      <c r="E31" s="6" t="s">
        <v>70</v>
      </c>
      <c r="F31" s="6" t="s">
        <v>13</v>
      </c>
      <c r="G31" s="4">
        <v>44768</v>
      </c>
      <c r="H31" s="3">
        <v>2024</v>
      </c>
      <c r="I31" s="3">
        <v>2025</v>
      </c>
      <c r="J31" s="4">
        <f t="shared" si="7"/>
        <v>45499</v>
      </c>
      <c r="K31" s="4">
        <f t="shared" si="8"/>
        <v>45864</v>
      </c>
      <c r="L31" s="4">
        <f t="shared" ref="L31:L34" si="9">DATE(YEAR($K31)+1,MONTH($K31),DAY($K31))</f>
        <v>46229</v>
      </c>
      <c r="M31" s="3">
        <v>14</v>
      </c>
      <c r="N31" s="3">
        <v>14</v>
      </c>
      <c r="O31" s="4">
        <v>46132</v>
      </c>
      <c r="P31" s="10">
        <f t="shared" si="2"/>
        <v>46145</v>
      </c>
      <c r="Q31" s="9">
        <f t="shared" si="3"/>
        <v>0</v>
      </c>
      <c r="R31" s="11" t="str">
        <f t="shared" si="4"/>
        <v>OK</v>
      </c>
      <c r="S31" s="11" t="str">
        <f t="shared" si="5"/>
        <v>OK</v>
      </c>
    </row>
    <row r="32" spans="2:19" hidden="1" x14ac:dyDescent="0.3">
      <c r="B32" s="2" t="s">
        <v>103</v>
      </c>
      <c r="C32" s="2" t="s">
        <v>23</v>
      </c>
      <c r="D32" s="6" t="s">
        <v>101</v>
      </c>
      <c r="E32" s="6" t="s">
        <v>70</v>
      </c>
      <c r="F32" s="6" t="s">
        <v>13</v>
      </c>
      <c r="G32" s="4">
        <v>44768</v>
      </c>
      <c r="H32" s="3">
        <v>2024</v>
      </c>
      <c r="I32" s="3">
        <v>2025</v>
      </c>
      <c r="J32" s="4">
        <f t="shared" si="7"/>
        <v>45499</v>
      </c>
      <c r="K32" s="4">
        <f t="shared" si="8"/>
        <v>45864</v>
      </c>
      <c r="L32" s="4">
        <f t="shared" si="9"/>
        <v>46229</v>
      </c>
      <c r="M32" s="3">
        <v>7</v>
      </c>
      <c r="N32" s="3">
        <v>7</v>
      </c>
      <c r="O32" s="4">
        <v>46216</v>
      </c>
      <c r="P32" s="10">
        <f t="shared" si="2"/>
        <v>46222</v>
      </c>
      <c r="Q32" s="9">
        <f t="shared" si="3"/>
        <v>0</v>
      </c>
      <c r="R32" s="11" t="str">
        <f t="shared" si="4"/>
        <v>OK</v>
      </c>
      <c r="S32" s="11" t="str">
        <f t="shared" si="5"/>
        <v>OK</v>
      </c>
    </row>
    <row r="33" spans="2:19" hidden="1" x14ac:dyDescent="0.3">
      <c r="B33" s="2" t="s">
        <v>103</v>
      </c>
      <c r="C33" s="2" t="s">
        <v>23</v>
      </c>
      <c r="D33" s="6" t="s">
        <v>101</v>
      </c>
      <c r="E33" s="6" t="s">
        <v>70</v>
      </c>
      <c r="F33" s="6" t="s">
        <v>13</v>
      </c>
      <c r="G33" s="4">
        <v>44768</v>
      </c>
      <c r="H33" s="3">
        <v>2025</v>
      </c>
      <c r="I33" s="3">
        <v>2026</v>
      </c>
      <c r="J33" s="4">
        <f t="shared" si="7"/>
        <v>45864</v>
      </c>
      <c r="K33" s="4">
        <f t="shared" si="8"/>
        <v>46229</v>
      </c>
      <c r="L33" s="4">
        <f t="shared" si="9"/>
        <v>46594</v>
      </c>
      <c r="M33" s="3">
        <v>7</v>
      </c>
      <c r="N33" s="3">
        <v>7</v>
      </c>
      <c r="O33" s="4">
        <f>P32+1</f>
        <v>46223</v>
      </c>
      <c r="P33" s="10">
        <f t="shared" si="2"/>
        <v>46229</v>
      </c>
      <c r="Q33" s="9">
        <f t="shared" si="3"/>
        <v>0</v>
      </c>
      <c r="R33" s="11" t="str">
        <f t="shared" si="4"/>
        <v>OK</v>
      </c>
      <c r="S33" s="11" t="str">
        <f t="shared" si="5"/>
        <v>OK</v>
      </c>
    </row>
    <row r="34" spans="2:19" hidden="1" x14ac:dyDescent="0.3">
      <c r="B34" s="2" t="s">
        <v>103</v>
      </c>
      <c r="C34" s="2" t="s">
        <v>23</v>
      </c>
      <c r="D34" s="6" t="s">
        <v>101</v>
      </c>
      <c r="E34" s="6" t="s">
        <v>70</v>
      </c>
      <c r="F34" s="6" t="s">
        <v>13</v>
      </c>
      <c r="G34" s="4">
        <v>44768</v>
      </c>
      <c r="H34" s="3">
        <v>2025</v>
      </c>
      <c r="I34" s="3">
        <v>2026</v>
      </c>
      <c r="J34" s="4">
        <f t="shared" si="7"/>
        <v>45864</v>
      </c>
      <c r="K34" s="4">
        <f t="shared" si="8"/>
        <v>46229</v>
      </c>
      <c r="L34" s="4">
        <f t="shared" si="9"/>
        <v>46594</v>
      </c>
      <c r="M34" s="3">
        <v>14</v>
      </c>
      <c r="N34" s="3">
        <v>14</v>
      </c>
      <c r="O34" s="4">
        <v>46384</v>
      </c>
      <c r="P34" s="10">
        <f t="shared" si="2"/>
        <v>46397</v>
      </c>
      <c r="Q34" s="9">
        <f t="shared" si="3"/>
        <v>0</v>
      </c>
      <c r="R34" s="11" t="str">
        <f t="shared" si="4"/>
        <v>OK</v>
      </c>
      <c r="S34" s="11" t="str">
        <f t="shared" si="5"/>
        <v>OK</v>
      </c>
    </row>
    <row r="35" spans="2:19" hidden="1" x14ac:dyDescent="0.3">
      <c r="B35" s="2" t="s">
        <v>103</v>
      </c>
      <c r="C35" s="2" t="s">
        <v>82</v>
      </c>
      <c r="D35" s="6" t="s">
        <v>98</v>
      </c>
      <c r="E35" s="6" t="s">
        <v>152</v>
      </c>
      <c r="F35" s="6" t="s">
        <v>19</v>
      </c>
      <c r="G35" s="4">
        <v>45839</v>
      </c>
      <c r="H35" s="3" t="s">
        <v>142</v>
      </c>
      <c r="I35" s="3">
        <v>2026</v>
      </c>
      <c r="J35" s="4">
        <f t="shared" si="7"/>
        <v>45839</v>
      </c>
      <c r="K35" s="4">
        <f t="shared" si="8"/>
        <v>46204</v>
      </c>
      <c r="L35" s="4">
        <v>46387</v>
      </c>
      <c r="M35" s="3">
        <v>11</v>
      </c>
      <c r="N35" s="3">
        <v>11</v>
      </c>
      <c r="O35" s="4">
        <v>46216</v>
      </c>
      <c r="P35" s="10">
        <f t="shared" si="2"/>
        <v>46226</v>
      </c>
      <c r="Q35" s="9">
        <f t="shared" ref="Q35:Q66" si="10">IF($J35="","",MAX(0,$M35-SUMIFS($N:$N,$J:$J,$J35,$K:$K,$K35)))</f>
        <v>0</v>
      </c>
      <c r="R35" s="11" t="str">
        <f t="shared" si="4"/>
        <v>OK</v>
      </c>
      <c r="S35" s="11" t="str">
        <f t="shared" si="5"/>
        <v>OK</v>
      </c>
    </row>
    <row r="36" spans="2:19" hidden="1" x14ac:dyDescent="0.3">
      <c r="B36" s="2" t="s">
        <v>103</v>
      </c>
      <c r="C36" s="2" t="s">
        <v>24</v>
      </c>
      <c r="D36" s="6" t="s">
        <v>114</v>
      </c>
      <c r="E36" s="6" t="s">
        <v>70</v>
      </c>
      <c r="F36" s="6" t="s">
        <v>13</v>
      </c>
      <c r="G36" s="4">
        <v>44697</v>
      </c>
      <c r="H36" s="3">
        <v>2024</v>
      </c>
      <c r="I36" s="3">
        <v>2025</v>
      </c>
      <c r="J36" s="4">
        <f t="shared" si="7"/>
        <v>45428</v>
      </c>
      <c r="K36" s="4">
        <f t="shared" si="8"/>
        <v>45793</v>
      </c>
      <c r="L36" s="4">
        <f t="shared" ref="L36:L40" si="11">DATE(YEAR($K36)+1,MONTH($K36),DAY($K36))</f>
        <v>46158</v>
      </c>
      <c r="M36" s="3">
        <v>19</v>
      </c>
      <c r="N36" s="3">
        <v>19</v>
      </c>
      <c r="O36" s="4">
        <v>46237</v>
      </c>
      <c r="P36" s="10">
        <f t="shared" si="2"/>
        <v>46255</v>
      </c>
      <c r="Q36" s="9">
        <f t="shared" si="10"/>
        <v>0</v>
      </c>
      <c r="R36" s="11" t="str">
        <f t="shared" si="4"/>
        <v>FORA DO PRAZO</v>
      </c>
      <c r="S36" s="11" t="str">
        <f t="shared" si="5"/>
        <v>FORA DO PRAZO</v>
      </c>
    </row>
    <row r="37" spans="2:19" hidden="1" x14ac:dyDescent="0.3">
      <c r="B37" s="2" t="s">
        <v>103</v>
      </c>
      <c r="C37" s="2" t="s">
        <v>24</v>
      </c>
      <c r="D37" s="6" t="s">
        <v>114</v>
      </c>
      <c r="E37" s="6" t="s">
        <v>70</v>
      </c>
      <c r="F37" s="6" t="s">
        <v>13</v>
      </c>
      <c r="G37" s="4">
        <v>44697</v>
      </c>
      <c r="H37" s="3">
        <v>2025</v>
      </c>
      <c r="I37" s="3">
        <v>2026</v>
      </c>
      <c r="J37" s="4">
        <f t="shared" si="7"/>
        <v>45793</v>
      </c>
      <c r="K37" s="4">
        <f t="shared" si="8"/>
        <v>46158</v>
      </c>
      <c r="L37" s="4">
        <f t="shared" si="11"/>
        <v>46523</v>
      </c>
      <c r="M37" s="3">
        <v>21</v>
      </c>
      <c r="N37" s="3">
        <v>7</v>
      </c>
      <c r="O37" s="4">
        <v>46146</v>
      </c>
      <c r="P37" s="10">
        <f t="shared" si="2"/>
        <v>46152</v>
      </c>
      <c r="Q37" s="9">
        <f t="shared" si="10"/>
        <v>0</v>
      </c>
      <c r="R37" s="11" t="str">
        <f t="shared" si="4"/>
        <v>OK</v>
      </c>
      <c r="S37" s="11" t="str">
        <f t="shared" si="5"/>
        <v>OK</v>
      </c>
    </row>
    <row r="38" spans="2:19" hidden="1" x14ac:dyDescent="0.3">
      <c r="B38" s="2" t="s">
        <v>103</v>
      </c>
      <c r="C38" s="2" t="s">
        <v>24</v>
      </c>
      <c r="D38" s="6" t="s">
        <v>114</v>
      </c>
      <c r="E38" s="6" t="s">
        <v>70</v>
      </c>
      <c r="F38" s="6" t="s">
        <v>13</v>
      </c>
      <c r="G38" s="4">
        <v>44697</v>
      </c>
      <c r="H38" s="3">
        <v>2025</v>
      </c>
      <c r="I38" s="3">
        <v>2026</v>
      </c>
      <c r="J38" s="4">
        <f t="shared" si="7"/>
        <v>45793</v>
      </c>
      <c r="K38" s="4">
        <f t="shared" si="8"/>
        <v>46158</v>
      </c>
      <c r="L38" s="4">
        <f t="shared" si="11"/>
        <v>46523</v>
      </c>
      <c r="M38" s="3">
        <v>14</v>
      </c>
      <c r="N38" s="3">
        <v>7</v>
      </c>
      <c r="O38" s="4">
        <v>46195</v>
      </c>
      <c r="P38" s="10">
        <f t="shared" si="2"/>
        <v>46201</v>
      </c>
      <c r="Q38" s="9">
        <f t="shared" si="10"/>
        <v>0</v>
      </c>
      <c r="R38" s="11" t="str">
        <f t="shared" si="4"/>
        <v>OK</v>
      </c>
      <c r="S38" s="11" t="str">
        <f t="shared" si="5"/>
        <v>OK</v>
      </c>
    </row>
    <row r="39" spans="2:19" hidden="1" x14ac:dyDescent="0.3">
      <c r="B39" s="2" t="s">
        <v>103</v>
      </c>
      <c r="C39" s="2" t="s">
        <v>24</v>
      </c>
      <c r="D39" s="6" t="s">
        <v>114</v>
      </c>
      <c r="E39" s="6" t="s">
        <v>70</v>
      </c>
      <c r="F39" s="6" t="s">
        <v>13</v>
      </c>
      <c r="G39" s="4">
        <v>44697</v>
      </c>
      <c r="H39" s="3">
        <v>2025</v>
      </c>
      <c r="I39" s="3">
        <v>2026</v>
      </c>
      <c r="J39" s="4">
        <f t="shared" si="7"/>
        <v>45793</v>
      </c>
      <c r="K39" s="4">
        <f t="shared" si="8"/>
        <v>46158</v>
      </c>
      <c r="L39" s="4">
        <f t="shared" si="11"/>
        <v>46523</v>
      </c>
      <c r="M39" s="3">
        <v>7</v>
      </c>
      <c r="N39" s="3">
        <v>7</v>
      </c>
      <c r="O39" s="4">
        <v>46370</v>
      </c>
      <c r="P39" s="10">
        <f t="shared" si="2"/>
        <v>46376</v>
      </c>
      <c r="Q39" s="9">
        <f t="shared" si="10"/>
        <v>0</v>
      </c>
      <c r="R39" s="11" t="str">
        <f t="shared" si="4"/>
        <v>OK</v>
      </c>
      <c r="S39" s="11" t="str">
        <f t="shared" si="5"/>
        <v>OK</v>
      </c>
    </row>
    <row r="40" spans="2:19" hidden="1" x14ac:dyDescent="0.3">
      <c r="B40" s="2" t="s">
        <v>103</v>
      </c>
      <c r="C40" s="2" t="s">
        <v>89</v>
      </c>
      <c r="D40" s="6" t="s">
        <v>99</v>
      </c>
      <c r="E40" s="6" t="s">
        <v>21</v>
      </c>
      <c r="F40" s="6" t="s">
        <v>43</v>
      </c>
      <c r="G40" s="4">
        <v>45936</v>
      </c>
      <c r="H40" s="3" t="s">
        <v>142</v>
      </c>
      <c r="I40" s="3">
        <v>2026</v>
      </c>
      <c r="J40" s="4">
        <f t="shared" si="7"/>
        <v>45936</v>
      </c>
      <c r="K40" s="4">
        <f t="shared" si="8"/>
        <v>46301</v>
      </c>
      <c r="L40" s="4">
        <f t="shared" si="11"/>
        <v>46666</v>
      </c>
      <c r="M40" s="3">
        <v>0</v>
      </c>
      <c r="N40" s="3">
        <v>0</v>
      </c>
      <c r="O40" s="4"/>
      <c r="P40" s="10" t="str">
        <f t="shared" si="2"/>
        <v/>
      </c>
      <c r="Q40" s="9">
        <f t="shared" si="10"/>
        <v>0</v>
      </c>
      <c r="R40" s="11" t="str">
        <f t="shared" si="4"/>
        <v>OK</v>
      </c>
      <c r="S40" s="11" t="str">
        <f t="shared" si="5"/>
        <v>OK</v>
      </c>
    </row>
    <row r="41" spans="2:19" hidden="1" x14ac:dyDescent="0.3">
      <c r="B41" s="2" t="s">
        <v>103</v>
      </c>
      <c r="C41" s="2" t="s">
        <v>25</v>
      </c>
      <c r="D41" s="6" t="s">
        <v>114</v>
      </c>
      <c r="E41" s="6" t="s">
        <v>70</v>
      </c>
      <c r="F41" s="6" t="s">
        <v>13</v>
      </c>
      <c r="G41" s="4">
        <v>44881</v>
      </c>
      <c r="H41" s="3">
        <v>2024</v>
      </c>
      <c r="I41" s="3">
        <v>2025</v>
      </c>
      <c r="J41" s="4">
        <f t="shared" si="7"/>
        <v>45612</v>
      </c>
      <c r="K41" s="4">
        <f t="shared" si="8"/>
        <v>45977</v>
      </c>
      <c r="L41" s="4">
        <f>DATE(YEAR($K41)+1,MONTH($K41),DAY($K41))</f>
        <v>46342</v>
      </c>
      <c r="M41" s="3">
        <v>14</v>
      </c>
      <c r="N41" s="3">
        <v>14</v>
      </c>
      <c r="O41" s="4">
        <v>46279</v>
      </c>
      <c r="P41" s="10">
        <f t="shared" si="2"/>
        <v>46292</v>
      </c>
      <c r="Q41" s="9">
        <f t="shared" si="10"/>
        <v>0</v>
      </c>
      <c r="R41" s="11" t="str">
        <f t="shared" si="4"/>
        <v>OK</v>
      </c>
      <c r="S41" s="11" t="str">
        <f t="shared" si="5"/>
        <v>OK</v>
      </c>
    </row>
    <row r="42" spans="2:19" hidden="1" x14ac:dyDescent="0.3">
      <c r="B42" s="2" t="s">
        <v>103</v>
      </c>
      <c r="C42" s="2" t="s">
        <v>25</v>
      </c>
      <c r="D42" s="6" t="s">
        <v>114</v>
      </c>
      <c r="E42" s="6" t="s">
        <v>70</v>
      </c>
      <c r="F42" s="6" t="s">
        <v>13</v>
      </c>
      <c r="G42" s="4">
        <v>44881</v>
      </c>
      <c r="H42" s="3">
        <v>2025</v>
      </c>
      <c r="I42" s="3">
        <v>2026</v>
      </c>
      <c r="J42" s="4">
        <f t="shared" si="7"/>
        <v>45977</v>
      </c>
      <c r="K42" s="4">
        <f t="shared" si="8"/>
        <v>46342</v>
      </c>
      <c r="L42" s="4">
        <f>DATE(YEAR($K42)+1,MONTH($K42),DAY($K42))</f>
        <v>46707</v>
      </c>
      <c r="M42" s="3">
        <v>21</v>
      </c>
      <c r="N42" s="3">
        <v>21</v>
      </c>
      <c r="O42" s="4">
        <v>46062</v>
      </c>
      <c r="P42" s="10">
        <f t="shared" si="2"/>
        <v>46082</v>
      </c>
      <c r="Q42" s="9">
        <f t="shared" si="10"/>
        <v>0</v>
      </c>
      <c r="R42" s="11" t="str">
        <f t="shared" si="4"/>
        <v>OK</v>
      </c>
      <c r="S42" s="11" t="str">
        <f t="shared" si="5"/>
        <v>OK</v>
      </c>
    </row>
    <row r="43" spans="2:19" hidden="1" x14ac:dyDescent="0.3">
      <c r="B43" s="2" t="s">
        <v>103</v>
      </c>
      <c r="C43" s="2" t="s">
        <v>27</v>
      </c>
      <c r="D43" s="6" t="s">
        <v>111</v>
      </c>
      <c r="E43" s="6" t="s">
        <v>59</v>
      </c>
      <c r="F43" s="6" t="s">
        <v>59</v>
      </c>
      <c r="G43" s="4">
        <v>45090</v>
      </c>
      <c r="H43" s="3">
        <v>2025</v>
      </c>
      <c r="I43" s="3">
        <v>2026</v>
      </c>
      <c r="J43" s="4">
        <f t="shared" si="7"/>
        <v>45821</v>
      </c>
      <c r="K43" s="4">
        <f t="shared" si="8"/>
        <v>46186</v>
      </c>
      <c r="L43" s="4">
        <v>46387</v>
      </c>
      <c r="M43" s="3">
        <v>21</v>
      </c>
      <c r="N43" s="3">
        <v>21</v>
      </c>
      <c r="O43" s="4">
        <v>46327</v>
      </c>
      <c r="P43" s="10">
        <f t="shared" si="2"/>
        <v>46347</v>
      </c>
      <c r="Q43" s="9">
        <f t="shared" si="10"/>
        <v>0</v>
      </c>
      <c r="R43" s="11" t="str">
        <f t="shared" si="4"/>
        <v>OK</v>
      </c>
      <c r="S43" s="11" t="str">
        <f t="shared" si="5"/>
        <v>OK</v>
      </c>
    </row>
    <row r="44" spans="2:19" hidden="1" x14ac:dyDescent="0.3">
      <c r="B44" s="2" t="s">
        <v>103</v>
      </c>
      <c r="C44" s="2" t="s">
        <v>28</v>
      </c>
      <c r="D44" s="6" t="s">
        <v>112</v>
      </c>
      <c r="E44" s="6" t="s">
        <v>32</v>
      </c>
      <c r="F44" s="6" t="s">
        <v>13</v>
      </c>
      <c r="G44" s="4">
        <v>45727</v>
      </c>
      <c r="H44" s="3" t="s">
        <v>142</v>
      </c>
      <c r="I44" s="3">
        <v>2026</v>
      </c>
      <c r="J44" s="4">
        <f t="shared" si="7"/>
        <v>45727</v>
      </c>
      <c r="K44" s="4">
        <f t="shared" si="8"/>
        <v>46092</v>
      </c>
      <c r="L44" s="4">
        <f t="shared" ref="L44:L49" si="12">DATE(YEAR($K44)+1,MONTH($K44),DAY($K44))</f>
        <v>46457</v>
      </c>
      <c r="M44" s="3">
        <v>21</v>
      </c>
      <c r="N44" s="3">
        <v>7</v>
      </c>
      <c r="O44" s="4">
        <v>46181</v>
      </c>
      <c r="P44" s="10">
        <f t="shared" si="2"/>
        <v>46187</v>
      </c>
      <c r="Q44" s="9">
        <f t="shared" si="10"/>
        <v>0</v>
      </c>
      <c r="R44" s="11" t="str">
        <f t="shared" si="4"/>
        <v>OK</v>
      </c>
      <c r="S44" s="11" t="str">
        <f t="shared" si="5"/>
        <v>OK</v>
      </c>
    </row>
    <row r="45" spans="2:19" hidden="1" x14ac:dyDescent="0.3">
      <c r="B45" s="2" t="s">
        <v>103</v>
      </c>
      <c r="C45" s="2" t="s">
        <v>28</v>
      </c>
      <c r="D45" s="6" t="s">
        <v>112</v>
      </c>
      <c r="E45" s="6" t="s">
        <v>32</v>
      </c>
      <c r="F45" s="6" t="s">
        <v>13</v>
      </c>
      <c r="G45" s="4">
        <v>45727</v>
      </c>
      <c r="H45" s="3" t="s">
        <v>142</v>
      </c>
      <c r="I45" s="3">
        <v>2026</v>
      </c>
      <c r="J45" s="4">
        <f t="shared" si="7"/>
        <v>45727</v>
      </c>
      <c r="K45" s="4">
        <f t="shared" si="8"/>
        <v>46092</v>
      </c>
      <c r="L45" s="4">
        <f t="shared" si="12"/>
        <v>46457</v>
      </c>
      <c r="M45" s="3">
        <v>14</v>
      </c>
      <c r="N45" s="3">
        <v>14</v>
      </c>
      <c r="O45" s="4">
        <v>46251</v>
      </c>
      <c r="P45" s="10">
        <f t="shared" si="2"/>
        <v>46264</v>
      </c>
      <c r="Q45" s="9">
        <f t="shared" si="10"/>
        <v>0</v>
      </c>
      <c r="R45" s="11" t="str">
        <f t="shared" si="4"/>
        <v>OK</v>
      </c>
      <c r="S45" s="11" t="str">
        <f t="shared" si="5"/>
        <v>OK</v>
      </c>
    </row>
    <row r="46" spans="2:19" hidden="1" x14ac:dyDescent="0.3">
      <c r="B46" s="2" t="s">
        <v>103</v>
      </c>
      <c r="C46" s="2" t="s">
        <v>29</v>
      </c>
      <c r="D46" s="6" t="s">
        <v>116</v>
      </c>
      <c r="E46" s="6" t="s">
        <v>32</v>
      </c>
      <c r="F46" s="6" t="s">
        <v>13</v>
      </c>
      <c r="G46" s="4">
        <v>45428</v>
      </c>
      <c r="H46" s="3" t="s">
        <v>143</v>
      </c>
      <c r="I46" s="3">
        <v>2025</v>
      </c>
      <c r="J46" s="4">
        <f t="shared" si="7"/>
        <v>45428</v>
      </c>
      <c r="K46" s="4">
        <f t="shared" si="8"/>
        <v>45793</v>
      </c>
      <c r="L46" s="4">
        <f t="shared" si="12"/>
        <v>46158</v>
      </c>
      <c r="M46" s="3">
        <v>21</v>
      </c>
      <c r="N46" s="3">
        <v>15</v>
      </c>
      <c r="O46" s="4">
        <v>46308</v>
      </c>
      <c r="P46" s="10">
        <f t="shared" si="2"/>
        <v>46322</v>
      </c>
      <c r="Q46" s="9">
        <f t="shared" si="10"/>
        <v>0</v>
      </c>
      <c r="R46" s="11" t="str">
        <f t="shared" si="4"/>
        <v>FORA DO PRAZO</v>
      </c>
      <c r="S46" s="11" t="str">
        <f t="shared" si="5"/>
        <v>FORA DO PRAZO</v>
      </c>
    </row>
    <row r="47" spans="2:19" hidden="1" x14ac:dyDescent="0.3">
      <c r="B47" s="2" t="s">
        <v>103</v>
      </c>
      <c r="C47" s="2" t="s">
        <v>29</v>
      </c>
      <c r="D47" s="6" t="s">
        <v>116</v>
      </c>
      <c r="E47" s="6" t="s">
        <v>32</v>
      </c>
      <c r="F47" s="6" t="s">
        <v>13</v>
      </c>
      <c r="G47" s="4">
        <v>45428</v>
      </c>
      <c r="H47" s="3" t="s">
        <v>143</v>
      </c>
      <c r="I47" s="3">
        <v>2025</v>
      </c>
      <c r="J47" s="4">
        <f t="shared" ref="J47:J72" si="13">DATE($H47,MONTH($G47),DAY($G47))</f>
        <v>45428</v>
      </c>
      <c r="K47" s="4">
        <f t="shared" ref="K47:K72" si="14">DATE($H47+1,MONTH($G47),DAY($G47))</f>
        <v>45793</v>
      </c>
      <c r="L47" s="4">
        <f t="shared" si="12"/>
        <v>46158</v>
      </c>
      <c r="M47" s="3">
        <v>6</v>
      </c>
      <c r="N47" s="3">
        <v>6</v>
      </c>
      <c r="O47" s="4">
        <v>46272</v>
      </c>
      <c r="P47" s="10">
        <f t="shared" ref="P47:P95" si="15">IF(OR(O47="",N47=""),"",O47+N47-1)</f>
        <v>46277</v>
      </c>
      <c r="Q47" s="9">
        <f t="shared" si="10"/>
        <v>0</v>
      </c>
      <c r="R47" s="11" t="str">
        <f t="shared" si="4"/>
        <v>FORA DO PRAZO</v>
      </c>
      <c r="S47" s="11" t="str">
        <f t="shared" si="5"/>
        <v>FORA DO PRAZO</v>
      </c>
    </row>
    <row r="48" spans="2:19" hidden="1" x14ac:dyDescent="0.3">
      <c r="B48" s="2" t="s">
        <v>103</v>
      </c>
      <c r="C48" s="2" t="s">
        <v>29</v>
      </c>
      <c r="D48" s="6" t="s">
        <v>116</v>
      </c>
      <c r="E48" s="6" t="s">
        <v>32</v>
      </c>
      <c r="F48" s="6" t="s">
        <v>13</v>
      </c>
      <c r="G48" s="4">
        <v>45428</v>
      </c>
      <c r="H48" s="3">
        <v>2025</v>
      </c>
      <c r="I48" s="3">
        <v>2026</v>
      </c>
      <c r="J48" s="4">
        <f t="shared" si="13"/>
        <v>45793</v>
      </c>
      <c r="K48" s="4">
        <f t="shared" si="14"/>
        <v>46158</v>
      </c>
      <c r="L48" s="4">
        <f t="shared" si="12"/>
        <v>46523</v>
      </c>
      <c r="M48" s="3">
        <v>21</v>
      </c>
      <c r="N48" s="3">
        <v>8</v>
      </c>
      <c r="O48" s="4">
        <v>46278</v>
      </c>
      <c r="P48" s="10">
        <f t="shared" si="15"/>
        <v>46285</v>
      </c>
      <c r="Q48" s="9">
        <f t="shared" si="10"/>
        <v>0</v>
      </c>
      <c r="R48" s="11" t="str">
        <f t="shared" ref="R48:R96" si="16">IF(OR($M48="",$N48=""),"",IF($N48&gt;$M48,"EXCEDE SALDO",IF(OR($O48="",$P48=""),"OK",IF($P48&lt;$O48,"DATAS INVÁLIDAS",IF($P48&gt;$L48,"FORA DO PRAZO","OK")))))</f>
        <v>OK</v>
      </c>
      <c r="S48" s="11" t="str">
        <f t="shared" si="5"/>
        <v>OK</v>
      </c>
    </row>
    <row r="49" spans="2:19" hidden="1" x14ac:dyDescent="0.3">
      <c r="B49" s="2" t="s">
        <v>103</v>
      </c>
      <c r="C49" s="2" t="s">
        <v>29</v>
      </c>
      <c r="D49" s="6" t="s">
        <v>116</v>
      </c>
      <c r="E49" s="6" t="s">
        <v>32</v>
      </c>
      <c r="F49" s="6" t="s">
        <v>13</v>
      </c>
      <c r="G49" s="4">
        <v>45428</v>
      </c>
      <c r="H49" s="3">
        <v>2025</v>
      </c>
      <c r="I49" s="3">
        <v>2026</v>
      </c>
      <c r="J49" s="4">
        <f t="shared" si="13"/>
        <v>45793</v>
      </c>
      <c r="K49" s="4">
        <f t="shared" si="14"/>
        <v>46158</v>
      </c>
      <c r="L49" s="4">
        <f t="shared" si="12"/>
        <v>46523</v>
      </c>
      <c r="M49" s="3">
        <v>13</v>
      </c>
      <c r="N49" s="3">
        <v>13</v>
      </c>
      <c r="O49" s="4">
        <v>46384</v>
      </c>
      <c r="P49" s="10">
        <f t="shared" si="15"/>
        <v>46396</v>
      </c>
      <c r="Q49" s="9">
        <f t="shared" si="10"/>
        <v>0</v>
      </c>
      <c r="R49" s="11" t="str">
        <f t="shared" si="16"/>
        <v>OK</v>
      </c>
      <c r="S49" s="11" t="str">
        <f t="shared" si="5"/>
        <v>OK</v>
      </c>
    </row>
    <row r="50" spans="2:19" hidden="1" x14ac:dyDescent="0.3">
      <c r="B50" s="2" t="s">
        <v>103</v>
      </c>
      <c r="C50" s="2" t="s">
        <v>30</v>
      </c>
      <c r="D50" s="6" t="s">
        <v>111</v>
      </c>
      <c r="E50" s="2" t="s">
        <v>22</v>
      </c>
      <c r="F50" s="6" t="s">
        <v>131</v>
      </c>
      <c r="G50" s="4">
        <v>45544</v>
      </c>
      <c r="H50" s="3" t="s">
        <v>143</v>
      </c>
      <c r="I50" s="3">
        <v>2025</v>
      </c>
      <c r="J50" s="4">
        <f t="shared" si="13"/>
        <v>45544</v>
      </c>
      <c r="K50" s="4">
        <f t="shared" si="14"/>
        <v>45909</v>
      </c>
      <c r="L50" s="4">
        <v>46387</v>
      </c>
      <c r="M50" s="3">
        <v>21</v>
      </c>
      <c r="N50" s="3">
        <v>17</v>
      </c>
      <c r="O50" s="4">
        <v>46011</v>
      </c>
      <c r="P50" s="10">
        <f t="shared" si="15"/>
        <v>46027</v>
      </c>
      <c r="Q50" s="9">
        <f t="shared" si="10"/>
        <v>4</v>
      </c>
      <c r="R50" s="11" t="str">
        <f t="shared" si="16"/>
        <v>OK</v>
      </c>
      <c r="S50" s="11" t="str">
        <f t="shared" si="5"/>
        <v>OK</v>
      </c>
    </row>
    <row r="51" spans="2:19" hidden="1" x14ac:dyDescent="0.3">
      <c r="B51" s="2" t="s">
        <v>103</v>
      </c>
      <c r="C51" s="2" t="s">
        <v>31</v>
      </c>
      <c r="D51" s="6" t="s">
        <v>106</v>
      </c>
      <c r="E51" s="6" t="s">
        <v>13</v>
      </c>
      <c r="F51" s="6" t="s">
        <v>13</v>
      </c>
      <c r="G51" s="4">
        <v>44795</v>
      </c>
      <c r="H51" s="3">
        <v>2024</v>
      </c>
      <c r="I51" s="3">
        <v>2025</v>
      </c>
      <c r="J51" s="4">
        <f t="shared" si="13"/>
        <v>45526</v>
      </c>
      <c r="K51" s="4">
        <f t="shared" si="14"/>
        <v>45891</v>
      </c>
      <c r="L51" s="4">
        <f t="shared" ref="L51:L62" si="17">DATE(YEAR($K51)+1,MONTH($K51),DAY($K51))</f>
        <v>46256</v>
      </c>
      <c r="M51" s="3">
        <v>4</v>
      </c>
      <c r="N51" s="3">
        <v>4</v>
      </c>
      <c r="O51" s="4">
        <v>46118</v>
      </c>
      <c r="P51" s="10">
        <f t="shared" si="15"/>
        <v>46121</v>
      </c>
      <c r="Q51" s="9">
        <f t="shared" si="10"/>
        <v>0</v>
      </c>
      <c r="R51" s="11" t="str">
        <f t="shared" si="16"/>
        <v>OK</v>
      </c>
      <c r="S51" s="11" t="str">
        <f t="shared" si="5"/>
        <v>OK</v>
      </c>
    </row>
    <row r="52" spans="2:19" hidden="1" x14ac:dyDescent="0.3">
      <c r="B52" s="2" t="s">
        <v>103</v>
      </c>
      <c r="C52" s="2" t="s">
        <v>31</v>
      </c>
      <c r="D52" s="6" t="s">
        <v>106</v>
      </c>
      <c r="E52" s="6" t="s">
        <v>13</v>
      </c>
      <c r="F52" s="6" t="s">
        <v>13</v>
      </c>
      <c r="G52" s="4">
        <v>44795</v>
      </c>
      <c r="H52" s="3">
        <v>2025</v>
      </c>
      <c r="I52" s="3">
        <v>2026</v>
      </c>
      <c r="J52" s="4">
        <f t="shared" si="13"/>
        <v>45891</v>
      </c>
      <c r="K52" s="4">
        <f t="shared" si="14"/>
        <v>46256</v>
      </c>
      <c r="L52" s="4">
        <f t="shared" si="17"/>
        <v>46621</v>
      </c>
      <c r="M52" s="3">
        <v>21</v>
      </c>
      <c r="N52" s="3">
        <v>7</v>
      </c>
      <c r="O52" s="4">
        <v>46223</v>
      </c>
      <c r="P52" s="10">
        <f t="shared" si="15"/>
        <v>46229</v>
      </c>
      <c r="Q52" s="9">
        <f t="shared" si="10"/>
        <v>0</v>
      </c>
      <c r="R52" s="11" t="str">
        <f t="shared" si="16"/>
        <v>OK</v>
      </c>
      <c r="S52" s="11" t="str">
        <f t="shared" si="5"/>
        <v>OK</v>
      </c>
    </row>
    <row r="53" spans="2:19" hidden="1" x14ac:dyDescent="0.3">
      <c r="B53" s="2" t="s">
        <v>103</v>
      </c>
      <c r="C53" s="2" t="s">
        <v>31</v>
      </c>
      <c r="D53" s="6" t="s">
        <v>106</v>
      </c>
      <c r="E53" s="6" t="s">
        <v>13</v>
      </c>
      <c r="F53" s="6" t="s">
        <v>13</v>
      </c>
      <c r="G53" s="4">
        <v>44795</v>
      </c>
      <c r="H53" s="3">
        <v>2025</v>
      </c>
      <c r="I53" s="3">
        <v>2026</v>
      </c>
      <c r="J53" s="4">
        <f t="shared" si="13"/>
        <v>45891</v>
      </c>
      <c r="K53" s="4">
        <f t="shared" si="14"/>
        <v>46256</v>
      </c>
      <c r="L53" s="4">
        <f t="shared" si="17"/>
        <v>46621</v>
      </c>
      <c r="M53" s="3">
        <v>14</v>
      </c>
      <c r="N53" s="3">
        <v>7</v>
      </c>
      <c r="O53" s="4">
        <v>46273</v>
      </c>
      <c r="P53" s="10">
        <f t="shared" si="15"/>
        <v>46279</v>
      </c>
      <c r="Q53" s="9">
        <f t="shared" si="10"/>
        <v>0</v>
      </c>
      <c r="R53" s="11" t="str">
        <f t="shared" si="16"/>
        <v>OK</v>
      </c>
      <c r="S53" s="11" t="str">
        <f t="shared" si="5"/>
        <v>OK</v>
      </c>
    </row>
    <row r="54" spans="2:19" hidden="1" x14ac:dyDescent="0.3">
      <c r="B54" s="2" t="s">
        <v>103</v>
      </c>
      <c r="C54" s="2" t="s">
        <v>31</v>
      </c>
      <c r="D54" s="6" t="s">
        <v>106</v>
      </c>
      <c r="E54" s="6" t="s">
        <v>13</v>
      </c>
      <c r="F54" s="6" t="s">
        <v>13</v>
      </c>
      <c r="G54" s="4">
        <v>44795</v>
      </c>
      <c r="H54" s="3">
        <v>2025</v>
      </c>
      <c r="I54" s="3">
        <v>2026</v>
      </c>
      <c r="J54" s="4">
        <f t="shared" si="13"/>
        <v>45891</v>
      </c>
      <c r="K54" s="4">
        <f t="shared" si="14"/>
        <v>46256</v>
      </c>
      <c r="L54" s="4">
        <f t="shared" si="17"/>
        <v>46621</v>
      </c>
      <c r="M54" s="3">
        <v>7</v>
      </c>
      <c r="N54" s="3">
        <v>7</v>
      </c>
      <c r="O54" s="4">
        <v>46349</v>
      </c>
      <c r="P54" s="10">
        <f t="shared" si="15"/>
        <v>46355</v>
      </c>
      <c r="Q54" s="9">
        <f t="shared" si="10"/>
        <v>0</v>
      </c>
      <c r="R54" s="11" t="str">
        <f t="shared" si="16"/>
        <v>OK</v>
      </c>
      <c r="S54" s="11" t="str">
        <f t="shared" si="5"/>
        <v>OK</v>
      </c>
    </row>
    <row r="55" spans="2:19" hidden="1" x14ac:dyDescent="0.3">
      <c r="B55" s="2" t="s">
        <v>103</v>
      </c>
      <c r="C55" s="2" t="s">
        <v>32</v>
      </c>
      <c r="D55" s="6" t="s">
        <v>135</v>
      </c>
      <c r="E55" s="6" t="s">
        <v>13</v>
      </c>
      <c r="F55" s="6" t="s">
        <v>13</v>
      </c>
      <c r="G55" s="4">
        <v>45712</v>
      </c>
      <c r="H55" s="3" t="s">
        <v>142</v>
      </c>
      <c r="I55" s="3">
        <v>2026</v>
      </c>
      <c r="J55" s="4">
        <f t="shared" si="13"/>
        <v>45712</v>
      </c>
      <c r="K55" s="4">
        <f t="shared" si="14"/>
        <v>46077</v>
      </c>
      <c r="L55" s="4">
        <f t="shared" si="17"/>
        <v>46442</v>
      </c>
      <c r="M55" s="3">
        <v>21</v>
      </c>
      <c r="N55" s="3">
        <v>14</v>
      </c>
      <c r="O55" s="4">
        <v>46167</v>
      </c>
      <c r="P55" s="10">
        <f t="shared" si="15"/>
        <v>46180</v>
      </c>
      <c r="Q55" s="9">
        <f t="shared" si="10"/>
        <v>0</v>
      </c>
      <c r="R55" s="11" t="str">
        <f t="shared" si="16"/>
        <v>OK</v>
      </c>
      <c r="S55" s="11" t="str">
        <f t="shared" si="5"/>
        <v>OK</v>
      </c>
    </row>
    <row r="56" spans="2:19" hidden="1" x14ac:dyDescent="0.3">
      <c r="B56" s="2" t="s">
        <v>103</v>
      </c>
      <c r="C56" s="2" t="s">
        <v>32</v>
      </c>
      <c r="D56" s="6" t="s">
        <v>135</v>
      </c>
      <c r="E56" s="6" t="s">
        <v>13</v>
      </c>
      <c r="F56" s="6" t="s">
        <v>13</v>
      </c>
      <c r="G56" s="4">
        <v>45712</v>
      </c>
      <c r="H56" s="3" t="s">
        <v>142</v>
      </c>
      <c r="I56" s="3">
        <v>2026</v>
      </c>
      <c r="J56" s="4">
        <f t="shared" si="13"/>
        <v>45712</v>
      </c>
      <c r="K56" s="4">
        <f t="shared" si="14"/>
        <v>46077</v>
      </c>
      <c r="L56" s="4">
        <f t="shared" si="17"/>
        <v>46442</v>
      </c>
      <c r="M56" s="3">
        <v>7</v>
      </c>
      <c r="N56" s="3">
        <v>7</v>
      </c>
      <c r="O56" s="4">
        <v>46384</v>
      </c>
      <c r="P56" s="10">
        <f t="shared" si="15"/>
        <v>46390</v>
      </c>
      <c r="Q56" s="9">
        <f t="shared" si="10"/>
        <v>0</v>
      </c>
      <c r="R56" s="11" t="str">
        <f t="shared" si="16"/>
        <v>OK</v>
      </c>
      <c r="S56" s="11" t="str">
        <f t="shared" si="5"/>
        <v>OK</v>
      </c>
    </row>
    <row r="57" spans="2:19" hidden="1" x14ac:dyDescent="0.3">
      <c r="B57" s="2" t="s">
        <v>103</v>
      </c>
      <c r="C57" s="2" t="s">
        <v>33</v>
      </c>
      <c r="D57" s="6" t="s">
        <v>114</v>
      </c>
      <c r="E57" s="6" t="s">
        <v>70</v>
      </c>
      <c r="F57" s="6" t="s">
        <v>13</v>
      </c>
      <c r="G57" s="4">
        <v>44943</v>
      </c>
      <c r="H57" s="3">
        <v>2024</v>
      </c>
      <c r="I57" s="3">
        <v>2025</v>
      </c>
      <c r="J57" s="4">
        <f t="shared" si="13"/>
        <v>45308</v>
      </c>
      <c r="K57" s="4">
        <f t="shared" si="14"/>
        <v>45674</v>
      </c>
      <c r="L57" s="4">
        <f t="shared" si="17"/>
        <v>46039</v>
      </c>
      <c r="M57" s="3">
        <v>28</v>
      </c>
      <c r="N57" s="3">
        <v>28</v>
      </c>
      <c r="O57" s="4">
        <v>46027</v>
      </c>
      <c r="P57" s="10">
        <f t="shared" si="15"/>
        <v>46054</v>
      </c>
      <c r="Q57" s="9">
        <f t="shared" si="10"/>
        <v>0</v>
      </c>
      <c r="R57" s="11" t="str">
        <f t="shared" si="16"/>
        <v>FORA DO PRAZO</v>
      </c>
      <c r="S57" s="11" t="str">
        <f t="shared" ref="S57:S93" si="18">IF(OR($M57="",$N57=""),"",IF($N57&gt;$M57,"EXCEDE SALDO",IF(OR($O57="",$P57=""),"OK",IF($P57&lt;$O57,"DATAS INVÁLIDAS",IF($P57&gt;$L57,"FORA DO PRAZO","OK")))))</f>
        <v>FORA DO PRAZO</v>
      </c>
    </row>
    <row r="58" spans="2:19" hidden="1" x14ac:dyDescent="0.3">
      <c r="B58" s="2" t="s">
        <v>103</v>
      </c>
      <c r="C58" s="2" t="s">
        <v>33</v>
      </c>
      <c r="D58" s="6" t="s">
        <v>114</v>
      </c>
      <c r="E58" s="6" t="s">
        <v>70</v>
      </c>
      <c r="F58" s="6" t="s">
        <v>13</v>
      </c>
      <c r="G58" s="4">
        <v>44943</v>
      </c>
      <c r="H58" s="3">
        <v>2024</v>
      </c>
      <c r="I58" s="3">
        <v>2025</v>
      </c>
      <c r="J58" s="4">
        <f t="shared" si="13"/>
        <v>45308</v>
      </c>
      <c r="K58" s="4">
        <f t="shared" si="14"/>
        <v>45674</v>
      </c>
      <c r="L58" s="4">
        <f t="shared" si="17"/>
        <v>46039</v>
      </c>
      <c r="M58" s="3">
        <v>2</v>
      </c>
      <c r="N58" s="3">
        <v>2</v>
      </c>
      <c r="O58" s="4">
        <v>46195</v>
      </c>
      <c r="P58" s="10">
        <f t="shared" si="15"/>
        <v>46196</v>
      </c>
      <c r="Q58" s="9">
        <f t="shared" si="10"/>
        <v>0</v>
      </c>
      <c r="R58" s="11" t="str">
        <f t="shared" si="16"/>
        <v>FORA DO PRAZO</v>
      </c>
      <c r="S58" s="11" t="str">
        <f t="shared" si="18"/>
        <v>FORA DO PRAZO</v>
      </c>
    </row>
    <row r="59" spans="2:19" hidden="1" x14ac:dyDescent="0.3">
      <c r="B59" s="2" t="s">
        <v>103</v>
      </c>
      <c r="C59" s="2" t="s">
        <v>33</v>
      </c>
      <c r="D59" s="6" t="s">
        <v>114</v>
      </c>
      <c r="E59" s="6" t="s">
        <v>70</v>
      </c>
      <c r="F59" s="6" t="s">
        <v>13</v>
      </c>
      <c r="G59" s="4">
        <v>44943</v>
      </c>
      <c r="H59" s="3">
        <v>2025</v>
      </c>
      <c r="I59" s="3">
        <v>2026</v>
      </c>
      <c r="J59" s="4">
        <f t="shared" si="13"/>
        <v>45674</v>
      </c>
      <c r="K59" s="4">
        <f t="shared" si="14"/>
        <v>46039</v>
      </c>
      <c r="L59" s="4">
        <f t="shared" si="17"/>
        <v>46404</v>
      </c>
      <c r="M59" s="3">
        <v>21</v>
      </c>
      <c r="N59" s="3">
        <v>6</v>
      </c>
      <c r="O59" s="4">
        <v>46197</v>
      </c>
      <c r="P59" s="10">
        <f t="shared" si="15"/>
        <v>46202</v>
      </c>
      <c r="Q59" s="9">
        <f t="shared" si="10"/>
        <v>0</v>
      </c>
      <c r="R59" s="11" t="str">
        <f t="shared" si="16"/>
        <v>OK</v>
      </c>
      <c r="S59" s="11" t="str">
        <f t="shared" si="18"/>
        <v>OK</v>
      </c>
    </row>
    <row r="60" spans="2:19" hidden="1" x14ac:dyDescent="0.3">
      <c r="B60" s="2" t="s">
        <v>103</v>
      </c>
      <c r="C60" s="2" t="s">
        <v>33</v>
      </c>
      <c r="D60" s="6" t="s">
        <v>114</v>
      </c>
      <c r="E60" s="6" t="s">
        <v>70</v>
      </c>
      <c r="F60" s="6" t="s">
        <v>13</v>
      </c>
      <c r="G60" s="4">
        <v>44943</v>
      </c>
      <c r="H60" s="3">
        <v>2025</v>
      </c>
      <c r="I60" s="3">
        <v>2026</v>
      </c>
      <c r="J60" s="4">
        <f t="shared" si="13"/>
        <v>45674</v>
      </c>
      <c r="K60" s="4">
        <f t="shared" si="14"/>
        <v>46039</v>
      </c>
      <c r="L60" s="4">
        <f t="shared" si="17"/>
        <v>46404</v>
      </c>
      <c r="M60" s="3">
        <v>15</v>
      </c>
      <c r="N60" s="3">
        <v>15</v>
      </c>
      <c r="O60" s="4">
        <v>46349</v>
      </c>
      <c r="P60" s="10">
        <f t="shared" si="15"/>
        <v>46363</v>
      </c>
      <c r="Q60" s="9">
        <f t="shared" si="10"/>
        <v>0</v>
      </c>
      <c r="R60" s="11" t="str">
        <f t="shared" si="16"/>
        <v>OK</v>
      </c>
      <c r="S60" s="11" t="str">
        <f t="shared" si="18"/>
        <v>OK</v>
      </c>
    </row>
    <row r="61" spans="2:19" hidden="1" x14ac:dyDescent="0.3">
      <c r="B61" s="2" t="s">
        <v>103</v>
      </c>
      <c r="C61" s="2" t="s">
        <v>34</v>
      </c>
      <c r="D61" s="6" t="s">
        <v>117</v>
      </c>
      <c r="E61" s="2" t="s">
        <v>34</v>
      </c>
      <c r="F61" s="6" t="s">
        <v>62</v>
      </c>
      <c r="G61" s="4">
        <v>44670</v>
      </c>
      <c r="H61" s="3">
        <v>2024</v>
      </c>
      <c r="I61" s="3">
        <v>2025</v>
      </c>
      <c r="J61" s="4">
        <f t="shared" si="13"/>
        <v>45401</v>
      </c>
      <c r="K61" s="4">
        <f t="shared" si="14"/>
        <v>45766</v>
      </c>
      <c r="L61" s="4">
        <f t="shared" si="17"/>
        <v>46131</v>
      </c>
      <c r="M61" s="3">
        <v>14</v>
      </c>
      <c r="N61" s="3">
        <v>14</v>
      </c>
      <c r="O61" s="4">
        <v>46195</v>
      </c>
      <c r="P61" s="10">
        <f t="shared" si="15"/>
        <v>46208</v>
      </c>
      <c r="Q61" s="9">
        <f t="shared" si="10"/>
        <v>0</v>
      </c>
      <c r="R61" s="11" t="str">
        <f t="shared" si="16"/>
        <v>FORA DO PRAZO</v>
      </c>
      <c r="S61" s="11" t="str">
        <f t="shared" si="18"/>
        <v>FORA DO PRAZO</v>
      </c>
    </row>
    <row r="62" spans="2:19" hidden="1" x14ac:dyDescent="0.3">
      <c r="B62" s="2" t="s">
        <v>103</v>
      </c>
      <c r="C62" s="2" t="s">
        <v>34</v>
      </c>
      <c r="D62" s="6" t="s">
        <v>117</v>
      </c>
      <c r="E62" s="2" t="s">
        <v>34</v>
      </c>
      <c r="F62" s="6" t="s">
        <v>62</v>
      </c>
      <c r="G62" s="4">
        <v>44670</v>
      </c>
      <c r="H62" s="3">
        <v>2025</v>
      </c>
      <c r="I62" s="3">
        <v>2026</v>
      </c>
      <c r="J62" s="4">
        <f t="shared" si="13"/>
        <v>45766</v>
      </c>
      <c r="K62" s="4">
        <f t="shared" si="14"/>
        <v>46131</v>
      </c>
      <c r="L62" s="4">
        <f t="shared" si="17"/>
        <v>46496</v>
      </c>
      <c r="M62" s="3">
        <v>21</v>
      </c>
      <c r="N62" s="3">
        <v>21</v>
      </c>
      <c r="O62" s="4">
        <v>46419</v>
      </c>
      <c r="P62" s="10">
        <f t="shared" si="15"/>
        <v>46439</v>
      </c>
      <c r="Q62" s="9">
        <f t="shared" si="10"/>
        <v>0</v>
      </c>
      <c r="R62" s="11" t="str">
        <f t="shared" si="16"/>
        <v>OK</v>
      </c>
      <c r="S62" s="11" t="str">
        <f t="shared" si="18"/>
        <v>OK</v>
      </c>
    </row>
    <row r="63" spans="2:19" hidden="1" x14ac:dyDescent="0.3">
      <c r="B63" s="2" t="s">
        <v>103</v>
      </c>
      <c r="C63" s="2" t="s">
        <v>35</v>
      </c>
      <c r="D63" s="6" t="s">
        <v>118</v>
      </c>
      <c r="E63" s="6" t="s">
        <v>129</v>
      </c>
      <c r="F63" s="6" t="s">
        <v>131</v>
      </c>
      <c r="G63" s="4">
        <v>45565</v>
      </c>
      <c r="H63" s="3" t="s">
        <v>143</v>
      </c>
      <c r="I63" s="3">
        <v>2025</v>
      </c>
      <c r="J63" s="4">
        <f t="shared" si="13"/>
        <v>45565</v>
      </c>
      <c r="K63" s="4">
        <f t="shared" si="14"/>
        <v>45930</v>
      </c>
      <c r="L63" s="4">
        <v>46387</v>
      </c>
      <c r="M63" s="3">
        <v>21</v>
      </c>
      <c r="N63" s="3">
        <v>21</v>
      </c>
      <c r="O63" s="4">
        <v>45992</v>
      </c>
      <c r="P63" s="10">
        <f t="shared" si="15"/>
        <v>46012</v>
      </c>
      <c r="Q63" s="9">
        <f t="shared" si="10"/>
        <v>0</v>
      </c>
      <c r="R63" s="11" t="str">
        <f t="shared" si="16"/>
        <v>OK</v>
      </c>
      <c r="S63" s="11" t="str">
        <f t="shared" si="18"/>
        <v>OK</v>
      </c>
    </row>
    <row r="64" spans="2:19" hidden="1" x14ac:dyDescent="0.3">
      <c r="B64" s="2" t="s">
        <v>103</v>
      </c>
      <c r="C64" s="2" t="s">
        <v>36</v>
      </c>
      <c r="D64" s="6" t="s">
        <v>105</v>
      </c>
      <c r="E64" s="2" t="s">
        <v>36</v>
      </c>
      <c r="F64" s="6" t="s">
        <v>62</v>
      </c>
      <c r="G64" s="4">
        <v>45106</v>
      </c>
      <c r="H64" s="3">
        <v>2024</v>
      </c>
      <c r="I64" s="3">
        <v>2025</v>
      </c>
      <c r="J64" s="4">
        <f t="shared" si="13"/>
        <v>45472</v>
      </c>
      <c r="K64" s="4">
        <f t="shared" si="14"/>
        <v>45837</v>
      </c>
      <c r="L64" s="4">
        <f>DATE(YEAR($K64)+1,MONTH($K64),DAY($K64))</f>
        <v>46202</v>
      </c>
      <c r="M64" s="3">
        <v>21</v>
      </c>
      <c r="N64" s="3">
        <v>7</v>
      </c>
      <c r="O64" s="4">
        <v>46134</v>
      </c>
      <c r="P64" s="10">
        <f t="shared" si="15"/>
        <v>46140</v>
      </c>
      <c r="Q64" s="9">
        <f t="shared" si="10"/>
        <v>0</v>
      </c>
      <c r="R64" s="11" t="str">
        <f t="shared" si="16"/>
        <v>OK</v>
      </c>
      <c r="S64" s="11" t="str">
        <f t="shared" si="18"/>
        <v>OK</v>
      </c>
    </row>
    <row r="65" spans="2:19" hidden="1" x14ac:dyDescent="0.3">
      <c r="B65" s="2" t="s">
        <v>103</v>
      </c>
      <c r="C65" s="2" t="s">
        <v>36</v>
      </c>
      <c r="D65" s="6" t="s">
        <v>105</v>
      </c>
      <c r="E65" s="2" t="s">
        <v>36</v>
      </c>
      <c r="F65" s="6" t="s">
        <v>62</v>
      </c>
      <c r="G65" s="4">
        <v>45106</v>
      </c>
      <c r="H65" s="3">
        <v>2024</v>
      </c>
      <c r="I65" s="3">
        <v>2025</v>
      </c>
      <c r="J65" s="4">
        <f t="shared" si="13"/>
        <v>45472</v>
      </c>
      <c r="K65" s="4">
        <f t="shared" si="14"/>
        <v>45837</v>
      </c>
      <c r="L65" s="4">
        <f>DATE(YEAR($K65)+1,MONTH($K65),DAY($K65))</f>
        <v>46202</v>
      </c>
      <c r="M65" s="3">
        <v>14</v>
      </c>
      <c r="N65" s="3">
        <v>7</v>
      </c>
      <c r="O65" s="4">
        <v>46181</v>
      </c>
      <c r="P65" s="10">
        <f t="shared" si="15"/>
        <v>46187</v>
      </c>
      <c r="Q65" s="9">
        <f t="shared" si="10"/>
        <v>0</v>
      </c>
      <c r="R65" s="11" t="str">
        <f t="shared" si="16"/>
        <v>OK</v>
      </c>
      <c r="S65" s="11" t="str">
        <f t="shared" si="18"/>
        <v>OK</v>
      </c>
    </row>
    <row r="66" spans="2:19" hidden="1" x14ac:dyDescent="0.3">
      <c r="B66" s="2" t="s">
        <v>103</v>
      </c>
      <c r="C66" s="2" t="s">
        <v>36</v>
      </c>
      <c r="D66" s="6" t="s">
        <v>105</v>
      </c>
      <c r="E66" s="2" t="s">
        <v>36</v>
      </c>
      <c r="F66" s="6" t="s">
        <v>62</v>
      </c>
      <c r="G66" s="4">
        <v>45106</v>
      </c>
      <c r="H66" s="3">
        <v>2024</v>
      </c>
      <c r="I66" s="3">
        <v>2025</v>
      </c>
      <c r="J66" s="4">
        <f t="shared" si="13"/>
        <v>45472</v>
      </c>
      <c r="K66" s="4">
        <f t="shared" si="14"/>
        <v>45837</v>
      </c>
      <c r="L66" s="4">
        <f>DATE(YEAR($K66)+1,MONTH($K66),DAY($K66))</f>
        <v>46202</v>
      </c>
      <c r="M66" s="3">
        <v>7</v>
      </c>
      <c r="N66" s="3">
        <v>7</v>
      </c>
      <c r="O66" s="4">
        <v>46273</v>
      </c>
      <c r="P66" s="10">
        <f t="shared" si="15"/>
        <v>46279</v>
      </c>
      <c r="Q66" s="9">
        <f t="shared" si="10"/>
        <v>0</v>
      </c>
      <c r="R66" s="11" t="str">
        <f t="shared" si="16"/>
        <v>FORA DO PRAZO</v>
      </c>
      <c r="S66" s="11" t="str">
        <f t="shared" si="18"/>
        <v>FORA DO PRAZO</v>
      </c>
    </row>
    <row r="67" spans="2:19" hidden="1" x14ac:dyDescent="0.3">
      <c r="B67" s="2" t="s">
        <v>103</v>
      </c>
      <c r="C67" s="2" t="s">
        <v>36</v>
      </c>
      <c r="D67" s="6" t="s">
        <v>105</v>
      </c>
      <c r="E67" s="2" t="s">
        <v>36</v>
      </c>
      <c r="F67" s="6" t="s">
        <v>62</v>
      </c>
      <c r="G67" s="4">
        <v>45106</v>
      </c>
      <c r="H67" s="3">
        <v>2025</v>
      </c>
      <c r="I67" s="3">
        <v>2026</v>
      </c>
      <c r="J67" s="4">
        <f t="shared" si="13"/>
        <v>45837</v>
      </c>
      <c r="K67" s="4">
        <f t="shared" si="14"/>
        <v>46202</v>
      </c>
      <c r="L67" s="4">
        <f>DATE(YEAR($K67)+1,MONTH($K67),DAY($K67))</f>
        <v>46567</v>
      </c>
      <c r="M67" s="3">
        <v>21</v>
      </c>
      <c r="N67" s="3">
        <v>15</v>
      </c>
      <c r="O67" s="4">
        <v>46308</v>
      </c>
      <c r="P67" s="10">
        <f t="shared" si="15"/>
        <v>46322</v>
      </c>
      <c r="Q67" s="9">
        <f t="shared" ref="Q67:Q93" si="19">IF($J67="","",MAX(0,$M67-SUMIFS($N:$N,$J:$J,$J67,$K:$K,$K67)))</f>
        <v>0</v>
      </c>
      <c r="R67" s="11" t="str">
        <f t="shared" si="16"/>
        <v>OK</v>
      </c>
      <c r="S67" s="11" t="str">
        <f t="shared" si="18"/>
        <v>OK</v>
      </c>
    </row>
    <row r="68" spans="2:19" hidden="1" x14ac:dyDescent="0.3">
      <c r="B68" s="2" t="s">
        <v>103</v>
      </c>
      <c r="C68" s="2" t="s">
        <v>36</v>
      </c>
      <c r="D68" s="6" t="s">
        <v>105</v>
      </c>
      <c r="E68" s="2" t="s">
        <v>36</v>
      </c>
      <c r="F68" s="6" t="s">
        <v>62</v>
      </c>
      <c r="G68" s="4">
        <v>45106</v>
      </c>
      <c r="H68" s="3">
        <v>2025</v>
      </c>
      <c r="I68" s="3">
        <v>2026</v>
      </c>
      <c r="J68" s="4">
        <f t="shared" si="13"/>
        <v>45837</v>
      </c>
      <c r="K68" s="4">
        <f t="shared" si="14"/>
        <v>46202</v>
      </c>
      <c r="L68" s="4">
        <f>DATE(YEAR($K68)+1,MONTH($K68),DAY($K68))</f>
        <v>46567</v>
      </c>
      <c r="M68" s="3">
        <v>6</v>
      </c>
      <c r="N68" s="3">
        <v>6</v>
      </c>
      <c r="O68" s="4">
        <v>46026</v>
      </c>
      <c r="P68" s="10">
        <f t="shared" si="15"/>
        <v>46031</v>
      </c>
      <c r="Q68" s="9">
        <f t="shared" si="19"/>
        <v>0</v>
      </c>
      <c r="R68" s="11" t="str">
        <f t="shared" si="16"/>
        <v>OK</v>
      </c>
      <c r="S68" s="11" t="str">
        <f t="shared" si="18"/>
        <v>OK</v>
      </c>
    </row>
    <row r="69" spans="2:19" hidden="1" x14ac:dyDescent="0.3">
      <c r="B69" s="2" t="s">
        <v>103</v>
      </c>
      <c r="C69" s="2" t="s">
        <v>37</v>
      </c>
      <c r="D69" s="6" t="s">
        <v>114</v>
      </c>
      <c r="E69" s="6" t="s">
        <v>21</v>
      </c>
      <c r="F69" s="6" t="s">
        <v>43</v>
      </c>
      <c r="G69" s="4">
        <v>45148</v>
      </c>
      <c r="H69" s="3">
        <v>2024</v>
      </c>
      <c r="I69" s="3">
        <v>2025</v>
      </c>
      <c r="J69" s="4">
        <f t="shared" si="13"/>
        <v>45514</v>
      </c>
      <c r="K69" s="4">
        <f t="shared" si="14"/>
        <v>45879</v>
      </c>
      <c r="L69" s="4">
        <v>46387</v>
      </c>
      <c r="M69" s="3">
        <v>42</v>
      </c>
      <c r="N69" s="3">
        <v>21</v>
      </c>
      <c r="O69" s="4">
        <v>46259</v>
      </c>
      <c r="P69" s="10">
        <f t="shared" si="15"/>
        <v>46279</v>
      </c>
      <c r="Q69" s="9">
        <f t="shared" si="19"/>
        <v>0</v>
      </c>
      <c r="R69" s="11" t="str">
        <f t="shared" si="16"/>
        <v>OK</v>
      </c>
      <c r="S69" s="11" t="str">
        <f t="shared" si="18"/>
        <v>OK</v>
      </c>
    </row>
    <row r="70" spans="2:19" hidden="1" x14ac:dyDescent="0.3">
      <c r="B70" s="2" t="s">
        <v>103</v>
      </c>
      <c r="C70" s="2" t="s">
        <v>37</v>
      </c>
      <c r="D70" s="6" t="s">
        <v>114</v>
      </c>
      <c r="E70" s="6" t="s">
        <v>21</v>
      </c>
      <c r="F70" s="6" t="s">
        <v>43</v>
      </c>
      <c r="G70" s="4">
        <v>45148</v>
      </c>
      <c r="H70" s="3">
        <v>2024</v>
      </c>
      <c r="I70" s="3">
        <v>2025</v>
      </c>
      <c r="J70" s="4">
        <f t="shared" si="13"/>
        <v>45514</v>
      </c>
      <c r="K70" s="4">
        <f t="shared" si="14"/>
        <v>45879</v>
      </c>
      <c r="L70" s="4">
        <v>46387</v>
      </c>
      <c r="M70" s="3">
        <v>21</v>
      </c>
      <c r="N70" s="3">
        <v>21</v>
      </c>
      <c r="O70" s="4">
        <v>46366</v>
      </c>
      <c r="P70" s="10">
        <f t="shared" si="15"/>
        <v>46386</v>
      </c>
      <c r="Q70" s="9">
        <f t="shared" si="19"/>
        <v>0</v>
      </c>
      <c r="R70" s="11" t="str">
        <f t="shared" si="16"/>
        <v>OK</v>
      </c>
      <c r="S70" s="11" t="str">
        <f t="shared" si="18"/>
        <v>OK</v>
      </c>
    </row>
    <row r="71" spans="2:19" hidden="1" x14ac:dyDescent="0.3">
      <c r="B71" s="2" t="s">
        <v>103</v>
      </c>
      <c r="C71" s="2" t="s">
        <v>38</v>
      </c>
      <c r="D71" s="6" t="s">
        <v>114</v>
      </c>
      <c r="E71" s="6" t="s">
        <v>152</v>
      </c>
      <c r="F71" s="6" t="s">
        <v>19</v>
      </c>
      <c r="G71" s="4">
        <v>45722</v>
      </c>
      <c r="H71" s="3" t="s">
        <v>142</v>
      </c>
      <c r="I71" s="3">
        <v>2026</v>
      </c>
      <c r="J71" s="4">
        <f t="shared" si="13"/>
        <v>45722</v>
      </c>
      <c r="K71" s="4">
        <f t="shared" si="14"/>
        <v>46087</v>
      </c>
      <c r="L71" s="4">
        <v>46387</v>
      </c>
      <c r="M71" s="3">
        <v>16</v>
      </c>
      <c r="N71" s="3">
        <v>16</v>
      </c>
      <c r="O71" s="4">
        <v>46118</v>
      </c>
      <c r="P71" s="10">
        <f t="shared" si="15"/>
        <v>46133</v>
      </c>
      <c r="Q71" s="9">
        <f t="shared" si="19"/>
        <v>0</v>
      </c>
      <c r="R71" s="11" t="str">
        <f t="shared" si="16"/>
        <v>OK</v>
      </c>
      <c r="S71" s="11" t="str">
        <f t="shared" si="18"/>
        <v>OK</v>
      </c>
    </row>
    <row r="72" spans="2:19" hidden="1" x14ac:dyDescent="0.3">
      <c r="B72" s="2" t="s">
        <v>103</v>
      </c>
      <c r="C72" s="2" t="s">
        <v>39</v>
      </c>
      <c r="D72" s="6" t="s">
        <v>119</v>
      </c>
      <c r="E72" s="6" t="s">
        <v>32</v>
      </c>
      <c r="F72" s="6" t="s">
        <v>13</v>
      </c>
      <c r="G72" s="4">
        <v>45414</v>
      </c>
      <c r="H72" s="3" t="s">
        <v>143</v>
      </c>
      <c r="I72" s="3">
        <v>2025</v>
      </c>
      <c r="J72" s="4">
        <f t="shared" si="13"/>
        <v>45414</v>
      </c>
      <c r="K72" s="4">
        <f t="shared" si="14"/>
        <v>45779</v>
      </c>
      <c r="L72" s="4">
        <f>DATE(YEAR($K72)+1,MONTH($K72),DAY($K72))</f>
        <v>46144</v>
      </c>
      <c r="M72" s="3">
        <v>21</v>
      </c>
      <c r="N72" s="3">
        <v>21</v>
      </c>
      <c r="O72" s="4">
        <v>46245</v>
      </c>
      <c r="P72" s="10">
        <f t="shared" si="15"/>
        <v>46265</v>
      </c>
      <c r="Q72" s="9">
        <f t="shared" si="19"/>
        <v>0</v>
      </c>
      <c r="R72" s="11" t="str">
        <f t="shared" si="16"/>
        <v>FORA DO PRAZO</v>
      </c>
      <c r="S72" s="11" t="str">
        <f t="shared" si="18"/>
        <v>FORA DO PRAZO</v>
      </c>
    </row>
    <row r="73" spans="2:19" hidden="1" x14ac:dyDescent="0.3">
      <c r="B73" s="2" t="s">
        <v>103</v>
      </c>
      <c r="C73" s="2" t="s">
        <v>39</v>
      </c>
      <c r="D73" s="6" t="s">
        <v>119</v>
      </c>
      <c r="E73" s="6" t="s">
        <v>32</v>
      </c>
      <c r="F73" s="6" t="s">
        <v>13</v>
      </c>
      <c r="G73" s="4">
        <v>45414</v>
      </c>
      <c r="H73" s="3" t="s">
        <v>143</v>
      </c>
      <c r="I73" s="3">
        <v>2025</v>
      </c>
      <c r="J73" s="4">
        <v>45414</v>
      </c>
      <c r="K73" s="4">
        <v>45779</v>
      </c>
      <c r="L73" s="4">
        <v>46144</v>
      </c>
      <c r="M73" s="3">
        <v>21</v>
      </c>
      <c r="N73" s="3">
        <v>14</v>
      </c>
      <c r="O73" s="4">
        <v>46286</v>
      </c>
      <c r="P73" s="10">
        <f t="shared" si="15"/>
        <v>46299</v>
      </c>
      <c r="Q73" s="9">
        <f t="shared" si="19"/>
        <v>0</v>
      </c>
      <c r="R73" s="11" t="str">
        <f t="shared" si="16"/>
        <v>FORA DO PRAZO</v>
      </c>
      <c r="S73" s="11" t="str">
        <f t="shared" si="18"/>
        <v>FORA DO PRAZO</v>
      </c>
    </row>
    <row r="74" spans="2:19" hidden="1" x14ac:dyDescent="0.3">
      <c r="B74" s="2" t="s">
        <v>103</v>
      </c>
      <c r="C74" s="2" t="s">
        <v>39</v>
      </c>
      <c r="D74" s="6" t="s">
        <v>119</v>
      </c>
      <c r="E74" s="6" t="s">
        <v>32</v>
      </c>
      <c r="F74" s="6" t="s">
        <v>13</v>
      </c>
      <c r="G74" s="4">
        <v>45414</v>
      </c>
      <c r="H74" s="3">
        <v>2025</v>
      </c>
      <c r="I74" s="3">
        <v>2026</v>
      </c>
      <c r="J74" s="4">
        <f t="shared" ref="J74:J97" si="20">DATE($H74,MONTH($G74),DAY($G74))</f>
        <v>45779</v>
      </c>
      <c r="K74" s="4">
        <f t="shared" ref="K74:K97" si="21">DATE($H74+1,MONTH($G74),DAY($G74))</f>
        <v>46144</v>
      </c>
      <c r="L74" s="4">
        <f t="shared" ref="L74:L93" si="22">DATE(YEAR($K74)+1,MONTH($K74),DAY($K74))</f>
        <v>46509</v>
      </c>
      <c r="M74" s="3">
        <v>7</v>
      </c>
      <c r="N74" s="3">
        <v>7</v>
      </c>
      <c r="O74" s="4">
        <v>46321</v>
      </c>
      <c r="P74" s="10">
        <f t="shared" si="15"/>
        <v>46327</v>
      </c>
      <c r="Q74" s="9">
        <f t="shared" si="19"/>
        <v>0</v>
      </c>
      <c r="R74" s="11" t="str">
        <f t="shared" si="16"/>
        <v>OK</v>
      </c>
      <c r="S74" s="11" t="str">
        <f t="shared" si="18"/>
        <v>OK</v>
      </c>
    </row>
    <row r="75" spans="2:19" hidden="1" x14ac:dyDescent="0.3">
      <c r="B75" s="2" t="s">
        <v>103</v>
      </c>
      <c r="C75" s="2" t="s">
        <v>40</v>
      </c>
      <c r="D75" s="6" t="s">
        <v>120</v>
      </c>
      <c r="E75" s="6" t="s">
        <v>132</v>
      </c>
      <c r="F75" s="6" t="s">
        <v>133</v>
      </c>
      <c r="G75" s="4">
        <v>45568</v>
      </c>
      <c r="H75" s="3">
        <v>2024</v>
      </c>
      <c r="I75" s="3">
        <v>2025</v>
      </c>
      <c r="J75" s="4">
        <f t="shared" si="20"/>
        <v>45568</v>
      </c>
      <c r="K75" s="4">
        <f t="shared" si="21"/>
        <v>45933</v>
      </c>
      <c r="L75" s="4">
        <f t="shared" si="22"/>
        <v>46298</v>
      </c>
      <c r="M75" s="3">
        <v>21</v>
      </c>
      <c r="N75" s="3">
        <v>11</v>
      </c>
      <c r="O75" s="4">
        <v>46072</v>
      </c>
      <c r="P75" s="10">
        <f t="shared" si="15"/>
        <v>46082</v>
      </c>
      <c r="Q75" s="9">
        <f t="shared" si="19"/>
        <v>0</v>
      </c>
      <c r="R75" s="11" t="str">
        <f t="shared" si="16"/>
        <v>OK</v>
      </c>
      <c r="S75" s="11" t="str">
        <f t="shared" si="18"/>
        <v>OK</v>
      </c>
    </row>
    <row r="76" spans="2:19" hidden="1" x14ac:dyDescent="0.3">
      <c r="B76" s="2" t="s">
        <v>103</v>
      </c>
      <c r="C76" s="2" t="s">
        <v>40</v>
      </c>
      <c r="D76" s="6" t="s">
        <v>120</v>
      </c>
      <c r="E76" s="6" t="s">
        <v>132</v>
      </c>
      <c r="F76" s="6" t="s">
        <v>133</v>
      </c>
      <c r="G76" s="4">
        <v>45568</v>
      </c>
      <c r="H76" s="3">
        <v>2024</v>
      </c>
      <c r="I76" s="3">
        <v>2025</v>
      </c>
      <c r="J76" s="4">
        <f t="shared" si="20"/>
        <v>45568</v>
      </c>
      <c r="K76" s="4">
        <f t="shared" si="21"/>
        <v>45933</v>
      </c>
      <c r="L76" s="4">
        <f t="shared" si="22"/>
        <v>46298</v>
      </c>
      <c r="M76" s="3">
        <v>10</v>
      </c>
      <c r="N76" s="3">
        <v>10</v>
      </c>
      <c r="O76" s="4">
        <v>46244</v>
      </c>
      <c r="P76" s="10">
        <f t="shared" si="15"/>
        <v>46253</v>
      </c>
      <c r="Q76" s="9">
        <f t="shared" si="19"/>
        <v>0</v>
      </c>
      <c r="R76" s="11" t="str">
        <f t="shared" si="16"/>
        <v>OK</v>
      </c>
      <c r="S76" s="11" t="str">
        <f t="shared" si="18"/>
        <v>OK</v>
      </c>
    </row>
    <row r="77" spans="2:19" hidden="1" x14ac:dyDescent="0.3">
      <c r="B77" s="2" t="s">
        <v>103</v>
      </c>
      <c r="C77" s="2" t="s">
        <v>41</v>
      </c>
      <c r="D77" s="6" t="s">
        <v>99</v>
      </c>
      <c r="E77" s="6" t="s">
        <v>70</v>
      </c>
      <c r="F77" s="6" t="s">
        <v>13</v>
      </c>
      <c r="G77" s="4">
        <v>44650</v>
      </c>
      <c r="H77" s="3">
        <v>2023</v>
      </c>
      <c r="I77" s="3">
        <v>2024</v>
      </c>
      <c r="J77" s="4">
        <f t="shared" si="20"/>
        <v>45015</v>
      </c>
      <c r="K77" s="4">
        <f t="shared" si="21"/>
        <v>45381</v>
      </c>
      <c r="L77" s="4">
        <f t="shared" si="22"/>
        <v>45746</v>
      </c>
      <c r="M77" s="3">
        <v>12</v>
      </c>
      <c r="N77" s="3">
        <v>12</v>
      </c>
      <c r="O77" s="4">
        <v>46024</v>
      </c>
      <c r="P77" s="10">
        <f t="shared" si="15"/>
        <v>46035</v>
      </c>
      <c r="Q77" s="9">
        <f t="shared" si="19"/>
        <v>0</v>
      </c>
      <c r="R77" s="11" t="str">
        <f t="shared" si="16"/>
        <v>FORA DO PRAZO</v>
      </c>
      <c r="S77" s="11" t="str">
        <f t="shared" si="18"/>
        <v>FORA DO PRAZO</v>
      </c>
    </row>
    <row r="78" spans="2:19" hidden="1" x14ac:dyDescent="0.3">
      <c r="B78" s="2" t="s">
        <v>103</v>
      </c>
      <c r="C78" s="2" t="s">
        <v>41</v>
      </c>
      <c r="D78" s="6" t="s">
        <v>99</v>
      </c>
      <c r="E78" s="6" t="s">
        <v>70</v>
      </c>
      <c r="F78" s="6" t="s">
        <v>13</v>
      </c>
      <c r="G78" s="4">
        <v>44650</v>
      </c>
      <c r="H78" s="3">
        <v>2024</v>
      </c>
      <c r="I78" s="3">
        <v>2025</v>
      </c>
      <c r="J78" s="4">
        <f t="shared" si="20"/>
        <v>45381</v>
      </c>
      <c r="K78" s="4">
        <f t="shared" si="21"/>
        <v>45746</v>
      </c>
      <c r="L78" s="4">
        <f t="shared" si="22"/>
        <v>46111</v>
      </c>
      <c r="M78" s="3">
        <v>21</v>
      </c>
      <c r="N78" s="3">
        <v>21</v>
      </c>
      <c r="O78" s="4">
        <v>46146</v>
      </c>
      <c r="P78" s="10">
        <f t="shared" si="15"/>
        <v>46166</v>
      </c>
      <c r="Q78" s="9">
        <f t="shared" si="19"/>
        <v>0</v>
      </c>
      <c r="R78" s="11" t="str">
        <f t="shared" si="16"/>
        <v>FORA DO PRAZO</v>
      </c>
      <c r="S78" s="11" t="str">
        <f t="shared" si="18"/>
        <v>FORA DO PRAZO</v>
      </c>
    </row>
    <row r="79" spans="2:19" hidden="1" x14ac:dyDescent="0.3">
      <c r="B79" s="2" t="s">
        <v>103</v>
      </c>
      <c r="C79" s="2" t="s">
        <v>41</v>
      </c>
      <c r="D79" s="6" t="s">
        <v>99</v>
      </c>
      <c r="E79" s="6" t="s">
        <v>70</v>
      </c>
      <c r="F79" s="6" t="s">
        <v>13</v>
      </c>
      <c r="G79" s="4">
        <v>44650</v>
      </c>
      <c r="H79" s="3">
        <v>2025</v>
      </c>
      <c r="I79" s="3">
        <v>2026</v>
      </c>
      <c r="J79" s="4">
        <f t="shared" si="20"/>
        <v>45746</v>
      </c>
      <c r="K79" s="4">
        <f t="shared" si="21"/>
        <v>46111</v>
      </c>
      <c r="L79" s="4">
        <f t="shared" si="22"/>
        <v>46476</v>
      </c>
      <c r="M79" s="3">
        <v>21</v>
      </c>
      <c r="N79" s="3">
        <v>21</v>
      </c>
      <c r="O79" s="4">
        <v>46314</v>
      </c>
      <c r="P79" s="10">
        <f t="shared" si="15"/>
        <v>46334</v>
      </c>
      <c r="Q79" s="9">
        <f t="shared" si="19"/>
        <v>0</v>
      </c>
      <c r="R79" s="11" t="str">
        <f t="shared" si="16"/>
        <v>OK</v>
      </c>
      <c r="S79" s="11" t="str">
        <f t="shared" si="18"/>
        <v>OK</v>
      </c>
    </row>
    <row r="80" spans="2:19" hidden="1" x14ac:dyDescent="0.3">
      <c r="B80" s="2" t="s">
        <v>103</v>
      </c>
      <c r="C80" s="2" t="s">
        <v>81</v>
      </c>
      <c r="D80" s="6" t="s">
        <v>121</v>
      </c>
      <c r="E80" s="6" t="s">
        <v>32</v>
      </c>
      <c r="F80" s="6" t="s">
        <v>13</v>
      </c>
      <c r="G80" s="4">
        <v>45839</v>
      </c>
      <c r="H80" s="3" t="s">
        <v>142</v>
      </c>
      <c r="I80" s="3">
        <v>2026</v>
      </c>
      <c r="J80" s="4">
        <f t="shared" si="20"/>
        <v>45839</v>
      </c>
      <c r="K80" s="4">
        <f t="shared" si="21"/>
        <v>46204</v>
      </c>
      <c r="L80" s="4">
        <f t="shared" si="22"/>
        <v>46569</v>
      </c>
      <c r="M80" s="3">
        <v>21</v>
      </c>
      <c r="N80" s="3">
        <v>14</v>
      </c>
      <c r="O80" s="4">
        <v>46097</v>
      </c>
      <c r="P80" s="10">
        <f t="shared" si="15"/>
        <v>46110</v>
      </c>
      <c r="Q80" s="9">
        <f t="shared" si="19"/>
        <v>0</v>
      </c>
      <c r="R80" s="11" t="str">
        <f t="shared" si="16"/>
        <v>OK</v>
      </c>
      <c r="S80" s="11" t="str">
        <f t="shared" si="18"/>
        <v>OK</v>
      </c>
    </row>
    <row r="81" spans="2:19" hidden="1" x14ac:dyDescent="0.3">
      <c r="B81" s="2" t="s">
        <v>103</v>
      </c>
      <c r="C81" s="2" t="s">
        <v>81</v>
      </c>
      <c r="D81" s="6" t="s">
        <v>121</v>
      </c>
      <c r="E81" s="6" t="s">
        <v>32</v>
      </c>
      <c r="F81" s="6" t="s">
        <v>13</v>
      </c>
      <c r="G81" s="4">
        <v>45839</v>
      </c>
      <c r="H81" s="3" t="s">
        <v>142</v>
      </c>
      <c r="I81" s="3">
        <v>2026</v>
      </c>
      <c r="J81" s="4">
        <f t="shared" si="20"/>
        <v>45839</v>
      </c>
      <c r="K81" s="4">
        <f t="shared" si="21"/>
        <v>46204</v>
      </c>
      <c r="L81" s="4">
        <f t="shared" si="22"/>
        <v>46569</v>
      </c>
      <c r="M81" s="3">
        <v>7</v>
      </c>
      <c r="N81" s="3">
        <v>7</v>
      </c>
      <c r="O81" s="4">
        <v>46146</v>
      </c>
      <c r="P81" s="10">
        <f t="shared" si="15"/>
        <v>46152</v>
      </c>
      <c r="Q81" s="9">
        <f t="shared" si="19"/>
        <v>0</v>
      </c>
      <c r="R81" s="11" t="str">
        <f t="shared" si="16"/>
        <v>OK</v>
      </c>
      <c r="S81" s="11" t="str">
        <f t="shared" si="18"/>
        <v>OK</v>
      </c>
    </row>
    <row r="82" spans="2:19" hidden="1" x14ac:dyDescent="0.3">
      <c r="B82" s="2" t="s">
        <v>103</v>
      </c>
      <c r="C82" s="2" t="s">
        <v>42</v>
      </c>
      <c r="D82" s="6" t="s">
        <v>120</v>
      </c>
      <c r="E82" s="2" t="s">
        <v>7</v>
      </c>
      <c r="F82" s="6" t="s">
        <v>133</v>
      </c>
      <c r="G82" s="4">
        <v>45748</v>
      </c>
      <c r="H82" s="3" t="s">
        <v>142</v>
      </c>
      <c r="I82" s="3">
        <v>2026</v>
      </c>
      <c r="J82" s="4">
        <f t="shared" si="20"/>
        <v>45748</v>
      </c>
      <c r="K82" s="4">
        <f t="shared" si="21"/>
        <v>46113</v>
      </c>
      <c r="L82" s="4">
        <f t="shared" si="22"/>
        <v>46478</v>
      </c>
      <c r="M82" s="3">
        <v>21</v>
      </c>
      <c r="N82" s="3">
        <v>7</v>
      </c>
      <c r="O82" s="4">
        <v>46146</v>
      </c>
      <c r="P82" s="10">
        <f t="shared" si="15"/>
        <v>46152</v>
      </c>
      <c r="Q82" s="9">
        <f t="shared" si="19"/>
        <v>0</v>
      </c>
      <c r="R82" s="11" t="str">
        <f t="shared" si="16"/>
        <v>OK</v>
      </c>
      <c r="S82" s="11" t="str">
        <f t="shared" si="18"/>
        <v>OK</v>
      </c>
    </row>
    <row r="83" spans="2:19" hidden="1" x14ac:dyDescent="0.3">
      <c r="B83" s="2" t="s">
        <v>103</v>
      </c>
      <c r="C83" s="2" t="s">
        <v>42</v>
      </c>
      <c r="D83" s="6" t="s">
        <v>120</v>
      </c>
      <c r="E83" s="2" t="s">
        <v>7</v>
      </c>
      <c r="F83" s="6" t="s">
        <v>133</v>
      </c>
      <c r="G83" s="4">
        <v>45748</v>
      </c>
      <c r="H83" s="3" t="s">
        <v>142</v>
      </c>
      <c r="I83" s="3">
        <v>2026</v>
      </c>
      <c r="J83" s="4">
        <f t="shared" si="20"/>
        <v>45748</v>
      </c>
      <c r="K83" s="4">
        <f t="shared" si="21"/>
        <v>46113</v>
      </c>
      <c r="L83" s="4">
        <f t="shared" si="22"/>
        <v>46478</v>
      </c>
      <c r="M83" s="3">
        <v>14</v>
      </c>
      <c r="N83" s="3">
        <v>7</v>
      </c>
      <c r="O83" s="4">
        <v>46230</v>
      </c>
      <c r="P83" s="10">
        <f t="shared" si="15"/>
        <v>46236</v>
      </c>
      <c r="Q83" s="9">
        <f t="shared" si="19"/>
        <v>0</v>
      </c>
      <c r="R83" s="11" t="str">
        <f t="shared" si="16"/>
        <v>OK</v>
      </c>
      <c r="S83" s="11" t="str">
        <f t="shared" si="18"/>
        <v>OK</v>
      </c>
    </row>
    <row r="84" spans="2:19" hidden="1" x14ac:dyDescent="0.3">
      <c r="B84" s="2" t="s">
        <v>103</v>
      </c>
      <c r="C84" s="2" t="s">
        <v>42</v>
      </c>
      <c r="D84" s="6" t="s">
        <v>120</v>
      </c>
      <c r="E84" s="2" t="s">
        <v>7</v>
      </c>
      <c r="F84" s="6" t="s">
        <v>133</v>
      </c>
      <c r="G84" s="4">
        <v>45748</v>
      </c>
      <c r="H84" s="3" t="s">
        <v>142</v>
      </c>
      <c r="I84" s="3">
        <v>2026</v>
      </c>
      <c r="J84" s="4">
        <f t="shared" si="20"/>
        <v>45748</v>
      </c>
      <c r="K84" s="4">
        <f t="shared" si="21"/>
        <v>46113</v>
      </c>
      <c r="L84" s="4">
        <f t="shared" si="22"/>
        <v>46478</v>
      </c>
      <c r="M84" s="3">
        <v>7</v>
      </c>
      <c r="N84" s="3">
        <v>7</v>
      </c>
      <c r="O84" s="4">
        <v>46300</v>
      </c>
      <c r="P84" s="10">
        <f t="shared" si="15"/>
        <v>46306</v>
      </c>
      <c r="Q84" s="9">
        <f t="shared" si="19"/>
        <v>0</v>
      </c>
      <c r="R84" s="11" t="str">
        <f t="shared" si="16"/>
        <v>OK</v>
      </c>
      <c r="S84" s="11" t="str">
        <f t="shared" si="18"/>
        <v>OK</v>
      </c>
    </row>
    <row r="85" spans="2:19" hidden="1" x14ac:dyDescent="0.3">
      <c r="B85" s="2" t="s">
        <v>103</v>
      </c>
      <c r="C85" s="2" t="s">
        <v>44</v>
      </c>
      <c r="D85" s="6" t="s">
        <v>102</v>
      </c>
      <c r="E85" s="2" t="s">
        <v>44</v>
      </c>
      <c r="F85" s="6" t="s">
        <v>62</v>
      </c>
      <c r="G85" s="4">
        <v>45413</v>
      </c>
      <c r="H85" s="3" t="s">
        <v>143</v>
      </c>
      <c r="I85" s="3">
        <v>2025</v>
      </c>
      <c r="J85" s="4">
        <f t="shared" si="20"/>
        <v>45413</v>
      </c>
      <c r="K85" s="4">
        <f t="shared" si="21"/>
        <v>45778</v>
      </c>
      <c r="L85" s="4">
        <f t="shared" si="22"/>
        <v>46143</v>
      </c>
      <c r="M85" s="3">
        <v>7</v>
      </c>
      <c r="N85" s="3">
        <v>7</v>
      </c>
      <c r="O85" s="4">
        <v>46118</v>
      </c>
      <c r="P85" s="10">
        <f t="shared" si="15"/>
        <v>46124</v>
      </c>
      <c r="Q85" s="9">
        <f t="shared" si="19"/>
        <v>0</v>
      </c>
      <c r="R85" s="11" t="str">
        <f t="shared" si="16"/>
        <v>OK</v>
      </c>
      <c r="S85" s="11" t="str">
        <f t="shared" si="18"/>
        <v>OK</v>
      </c>
    </row>
    <row r="86" spans="2:19" hidden="1" x14ac:dyDescent="0.3">
      <c r="B86" s="2" t="s">
        <v>103</v>
      </c>
      <c r="C86" s="2" t="s">
        <v>44</v>
      </c>
      <c r="D86" s="6" t="s">
        <v>102</v>
      </c>
      <c r="E86" s="2" t="s">
        <v>44</v>
      </c>
      <c r="F86" s="6" t="s">
        <v>62</v>
      </c>
      <c r="G86" s="4">
        <v>45413</v>
      </c>
      <c r="H86" s="3">
        <v>2025</v>
      </c>
      <c r="I86" s="3">
        <v>2026</v>
      </c>
      <c r="J86" s="4">
        <f t="shared" si="20"/>
        <v>45778</v>
      </c>
      <c r="K86" s="4">
        <f t="shared" si="21"/>
        <v>46143</v>
      </c>
      <c r="L86" s="4">
        <f t="shared" si="22"/>
        <v>46508</v>
      </c>
      <c r="M86" s="3">
        <v>7</v>
      </c>
      <c r="N86" s="3">
        <v>7</v>
      </c>
      <c r="O86" s="4">
        <v>46160</v>
      </c>
      <c r="P86" s="10">
        <f t="shared" si="15"/>
        <v>46166</v>
      </c>
      <c r="Q86" s="9">
        <f t="shared" si="19"/>
        <v>0</v>
      </c>
      <c r="R86" s="11" t="str">
        <f t="shared" si="16"/>
        <v>OK</v>
      </c>
      <c r="S86" s="11" t="str">
        <f t="shared" si="18"/>
        <v>OK</v>
      </c>
    </row>
    <row r="87" spans="2:19" hidden="1" x14ac:dyDescent="0.3">
      <c r="B87" s="2" t="s">
        <v>103</v>
      </c>
      <c r="C87" s="2" t="s">
        <v>44</v>
      </c>
      <c r="D87" s="6" t="s">
        <v>102</v>
      </c>
      <c r="E87" s="2" t="s">
        <v>44</v>
      </c>
      <c r="F87" s="6" t="s">
        <v>62</v>
      </c>
      <c r="G87" s="4">
        <v>45413</v>
      </c>
      <c r="H87" s="3">
        <v>2025</v>
      </c>
      <c r="I87" s="3">
        <v>2026</v>
      </c>
      <c r="J87" s="4">
        <f t="shared" si="20"/>
        <v>45778</v>
      </c>
      <c r="K87" s="4">
        <f t="shared" si="21"/>
        <v>46143</v>
      </c>
      <c r="L87" s="4">
        <f t="shared" si="22"/>
        <v>46508</v>
      </c>
      <c r="M87" s="3">
        <v>7</v>
      </c>
      <c r="N87" s="3">
        <v>7</v>
      </c>
      <c r="O87" s="4">
        <v>46209</v>
      </c>
      <c r="P87" s="10">
        <f t="shared" si="15"/>
        <v>46215</v>
      </c>
      <c r="Q87" s="9">
        <f t="shared" si="19"/>
        <v>0</v>
      </c>
      <c r="R87" s="11" t="str">
        <f t="shared" si="16"/>
        <v>OK</v>
      </c>
      <c r="S87" s="11" t="str">
        <f t="shared" si="18"/>
        <v>OK</v>
      </c>
    </row>
    <row r="88" spans="2:19" hidden="1" x14ac:dyDescent="0.3">
      <c r="B88" s="2" t="s">
        <v>103</v>
      </c>
      <c r="C88" s="2" t="s">
        <v>44</v>
      </c>
      <c r="D88" s="6" t="s">
        <v>102</v>
      </c>
      <c r="E88" s="2" t="s">
        <v>44</v>
      </c>
      <c r="F88" s="6" t="s">
        <v>62</v>
      </c>
      <c r="G88" s="4">
        <v>45413</v>
      </c>
      <c r="H88" s="3">
        <v>2025</v>
      </c>
      <c r="I88" s="3">
        <v>2026</v>
      </c>
      <c r="J88" s="4">
        <f t="shared" si="20"/>
        <v>45778</v>
      </c>
      <c r="K88" s="4">
        <f t="shared" si="21"/>
        <v>46143</v>
      </c>
      <c r="L88" s="4">
        <f t="shared" si="22"/>
        <v>46508</v>
      </c>
      <c r="M88" s="3">
        <v>7</v>
      </c>
      <c r="N88" s="3">
        <v>7</v>
      </c>
      <c r="O88" s="4">
        <v>46265</v>
      </c>
      <c r="P88" s="10">
        <f t="shared" si="15"/>
        <v>46271</v>
      </c>
      <c r="Q88" s="9">
        <f t="shared" si="19"/>
        <v>0</v>
      </c>
      <c r="R88" s="11" t="str">
        <f t="shared" si="16"/>
        <v>OK</v>
      </c>
      <c r="S88" s="11" t="str">
        <f t="shared" si="18"/>
        <v>OK</v>
      </c>
    </row>
    <row r="89" spans="2:19" hidden="1" x14ac:dyDescent="0.3">
      <c r="B89" s="2" t="s">
        <v>103</v>
      </c>
      <c r="C89" s="2" t="s">
        <v>45</v>
      </c>
      <c r="D89" s="6" t="s">
        <v>107</v>
      </c>
      <c r="E89" s="2" t="s">
        <v>34</v>
      </c>
      <c r="F89" s="2" t="s">
        <v>34</v>
      </c>
      <c r="G89" s="4">
        <v>44896</v>
      </c>
      <c r="H89" s="3">
        <v>2024</v>
      </c>
      <c r="I89" s="3">
        <v>2025</v>
      </c>
      <c r="J89" s="4">
        <f t="shared" si="20"/>
        <v>45627</v>
      </c>
      <c r="K89" s="4">
        <f t="shared" si="21"/>
        <v>45992</v>
      </c>
      <c r="L89" s="4">
        <f t="shared" si="22"/>
        <v>46357</v>
      </c>
      <c r="M89" s="3">
        <v>21</v>
      </c>
      <c r="N89" s="3">
        <v>7</v>
      </c>
      <c r="O89" s="4">
        <v>46129</v>
      </c>
      <c r="P89" s="10">
        <f t="shared" si="15"/>
        <v>46135</v>
      </c>
      <c r="Q89" s="9">
        <f t="shared" si="19"/>
        <v>0</v>
      </c>
      <c r="R89" s="11" t="str">
        <f t="shared" si="16"/>
        <v>OK</v>
      </c>
      <c r="S89" s="11" t="str">
        <f t="shared" si="18"/>
        <v>OK</v>
      </c>
    </row>
    <row r="90" spans="2:19" hidden="1" x14ac:dyDescent="0.3">
      <c r="B90" s="2" t="s">
        <v>103</v>
      </c>
      <c r="C90" s="2" t="s">
        <v>45</v>
      </c>
      <c r="D90" s="6" t="s">
        <v>107</v>
      </c>
      <c r="E90" s="2" t="s">
        <v>34</v>
      </c>
      <c r="F90" s="2" t="s">
        <v>34</v>
      </c>
      <c r="G90" s="4">
        <v>44896</v>
      </c>
      <c r="H90" s="3">
        <v>2024</v>
      </c>
      <c r="I90" s="3">
        <v>2025</v>
      </c>
      <c r="J90" s="4">
        <f t="shared" si="20"/>
        <v>45627</v>
      </c>
      <c r="K90" s="4">
        <f t="shared" si="21"/>
        <v>45992</v>
      </c>
      <c r="L90" s="4">
        <f t="shared" si="22"/>
        <v>46357</v>
      </c>
      <c r="M90" s="3">
        <v>14</v>
      </c>
      <c r="N90" s="3">
        <v>14</v>
      </c>
      <c r="O90" s="4">
        <v>46374</v>
      </c>
      <c r="P90" s="10">
        <f t="shared" si="15"/>
        <v>46387</v>
      </c>
      <c r="Q90" s="9">
        <f t="shared" si="19"/>
        <v>0</v>
      </c>
      <c r="R90" s="11" t="str">
        <f t="shared" si="16"/>
        <v>FORA DO PRAZO</v>
      </c>
      <c r="S90" s="11" t="str">
        <f t="shared" si="18"/>
        <v>FORA DO PRAZO</v>
      </c>
    </row>
    <row r="91" spans="2:19" hidden="1" x14ac:dyDescent="0.3">
      <c r="B91" s="2" t="s">
        <v>103</v>
      </c>
      <c r="C91" s="2" t="s">
        <v>46</v>
      </c>
      <c r="D91" s="6" t="s">
        <v>112</v>
      </c>
      <c r="E91" s="6" t="s">
        <v>70</v>
      </c>
      <c r="F91" s="6" t="s">
        <v>13</v>
      </c>
      <c r="G91" s="4">
        <v>45722</v>
      </c>
      <c r="H91" s="3" t="s">
        <v>142</v>
      </c>
      <c r="I91" s="3">
        <v>2026</v>
      </c>
      <c r="J91" s="4">
        <f t="shared" si="20"/>
        <v>45722</v>
      </c>
      <c r="K91" s="4">
        <f t="shared" si="21"/>
        <v>46087</v>
      </c>
      <c r="L91" s="4">
        <f t="shared" si="22"/>
        <v>46452</v>
      </c>
      <c r="M91" s="3">
        <v>21</v>
      </c>
      <c r="N91" s="3">
        <v>7</v>
      </c>
      <c r="O91" s="4">
        <v>46146</v>
      </c>
      <c r="P91" s="10">
        <f t="shared" si="15"/>
        <v>46152</v>
      </c>
      <c r="Q91" s="9">
        <f t="shared" si="19"/>
        <v>0</v>
      </c>
      <c r="R91" s="11" t="str">
        <f t="shared" si="16"/>
        <v>OK</v>
      </c>
      <c r="S91" s="11" t="str">
        <f t="shared" si="18"/>
        <v>OK</v>
      </c>
    </row>
    <row r="92" spans="2:19" hidden="1" x14ac:dyDescent="0.3">
      <c r="B92" s="2" t="s">
        <v>103</v>
      </c>
      <c r="C92" s="2" t="s">
        <v>46</v>
      </c>
      <c r="D92" s="6" t="s">
        <v>112</v>
      </c>
      <c r="E92" s="6" t="s">
        <v>70</v>
      </c>
      <c r="F92" s="6" t="s">
        <v>13</v>
      </c>
      <c r="G92" s="4">
        <v>45722</v>
      </c>
      <c r="H92" s="3" t="s">
        <v>142</v>
      </c>
      <c r="I92" s="3">
        <v>2026</v>
      </c>
      <c r="J92" s="4">
        <f t="shared" si="20"/>
        <v>45722</v>
      </c>
      <c r="K92" s="4">
        <f t="shared" si="21"/>
        <v>46087</v>
      </c>
      <c r="L92" s="4">
        <f t="shared" si="22"/>
        <v>46452</v>
      </c>
      <c r="M92" s="3">
        <v>14</v>
      </c>
      <c r="N92" s="3">
        <v>14</v>
      </c>
      <c r="O92" s="4">
        <v>46244</v>
      </c>
      <c r="P92" s="10">
        <f t="shared" si="15"/>
        <v>46257</v>
      </c>
      <c r="Q92" s="9">
        <f t="shared" si="19"/>
        <v>0</v>
      </c>
      <c r="R92" s="11" t="str">
        <f t="shared" si="16"/>
        <v>OK</v>
      </c>
      <c r="S92" s="11" t="str">
        <f t="shared" si="18"/>
        <v>OK</v>
      </c>
    </row>
    <row r="93" spans="2:19" x14ac:dyDescent="0.3">
      <c r="B93" s="2" t="s">
        <v>103</v>
      </c>
      <c r="C93" s="2" t="s">
        <v>47</v>
      </c>
      <c r="D93" s="6" t="s">
        <v>108</v>
      </c>
      <c r="E93" s="2" t="s">
        <v>7</v>
      </c>
      <c r="F93" s="6" t="s">
        <v>133</v>
      </c>
      <c r="G93" s="4">
        <v>44810</v>
      </c>
      <c r="H93" s="3">
        <v>2024</v>
      </c>
      <c r="I93" s="3">
        <v>2025</v>
      </c>
      <c r="J93" s="4">
        <f t="shared" si="20"/>
        <v>45541</v>
      </c>
      <c r="K93" s="4">
        <f t="shared" si="21"/>
        <v>45906</v>
      </c>
      <c r="L93" s="4">
        <f t="shared" si="22"/>
        <v>46271</v>
      </c>
      <c r="M93" s="3">
        <v>7</v>
      </c>
      <c r="N93" s="3">
        <v>7</v>
      </c>
      <c r="O93" s="4">
        <v>46237</v>
      </c>
      <c r="P93" s="10">
        <f t="shared" si="15"/>
        <v>46243</v>
      </c>
      <c r="Q93" s="9">
        <f t="shared" si="19"/>
        <v>0</v>
      </c>
      <c r="R93" s="11" t="str">
        <f t="shared" si="16"/>
        <v>OK</v>
      </c>
      <c r="S93" s="11" t="str">
        <f t="shared" si="18"/>
        <v>OK</v>
      </c>
    </row>
    <row r="94" spans="2:19" hidden="1" x14ac:dyDescent="0.3">
      <c r="B94" s="2" t="s">
        <v>103</v>
      </c>
      <c r="C94" s="2" t="s">
        <v>49</v>
      </c>
      <c r="D94" s="6" t="s">
        <v>122</v>
      </c>
      <c r="E94" s="2" t="s">
        <v>49</v>
      </c>
      <c r="F94" s="6" t="s">
        <v>62</v>
      </c>
      <c r="G94" s="4">
        <v>45782</v>
      </c>
      <c r="H94" s="3" t="s">
        <v>142</v>
      </c>
      <c r="I94" s="3">
        <v>2026</v>
      </c>
      <c r="J94" s="4">
        <f t="shared" si="20"/>
        <v>45782</v>
      </c>
      <c r="K94" s="4">
        <f t="shared" si="21"/>
        <v>46147</v>
      </c>
      <c r="L94" s="4">
        <f>DATE(YEAR($K94)+1,MONTH($K94),DAY($K94))</f>
        <v>46512</v>
      </c>
      <c r="M94" s="3">
        <v>21</v>
      </c>
      <c r="N94" s="3">
        <v>11</v>
      </c>
      <c r="O94" s="4">
        <v>46037</v>
      </c>
      <c r="P94" s="10">
        <f t="shared" si="15"/>
        <v>46047</v>
      </c>
      <c r="Q94" s="3">
        <f>IF(N94&lt;&gt;"",M94-N94,M94)</f>
        <v>10</v>
      </c>
      <c r="R94" s="11" t="str">
        <f t="shared" si="16"/>
        <v>OK</v>
      </c>
      <c r="S94" s="11" t="str">
        <f t="shared" ref="S94:S111" si="23">IF(OR($M94="",$N94=""),"",IF($N94&gt;$M94,"EXCEDE SALDO",IF(OR($O94="",$P94=""),"OK",IF($P94&lt;$O94,"DATAS INVÁLIDAS",IF($P94&gt;$L94,"FORA DO PRAZO","OK")))))</f>
        <v>OK</v>
      </c>
    </row>
    <row r="95" spans="2:19" hidden="1" x14ac:dyDescent="0.3">
      <c r="B95" s="2" t="s">
        <v>103</v>
      </c>
      <c r="C95" s="2" t="s">
        <v>49</v>
      </c>
      <c r="D95" s="6" t="s">
        <v>122</v>
      </c>
      <c r="E95" s="2" t="s">
        <v>49</v>
      </c>
      <c r="F95" s="6" t="s">
        <v>62</v>
      </c>
      <c r="G95" s="4">
        <v>45782</v>
      </c>
      <c r="H95" s="3" t="s">
        <v>142</v>
      </c>
      <c r="I95" s="3">
        <v>2026</v>
      </c>
      <c r="J95" s="4">
        <f t="shared" si="20"/>
        <v>45782</v>
      </c>
      <c r="K95" s="4">
        <f t="shared" si="21"/>
        <v>46147</v>
      </c>
      <c r="L95" s="4">
        <f>DATE(YEAR($K95)+1,MONTH($K95),DAY($K95))</f>
        <v>46512</v>
      </c>
      <c r="M95" s="3">
        <v>10</v>
      </c>
      <c r="N95" s="3">
        <v>10</v>
      </c>
      <c r="O95" s="4">
        <v>46230</v>
      </c>
      <c r="P95" s="10">
        <f t="shared" si="15"/>
        <v>46239</v>
      </c>
      <c r="Q95" s="3">
        <f>IF(N95&lt;&gt;"",M95-N95,M95)</f>
        <v>0</v>
      </c>
      <c r="R95" s="11" t="str">
        <f t="shared" si="16"/>
        <v>OK</v>
      </c>
      <c r="S95" s="11" t="str">
        <f t="shared" si="23"/>
        <v>OK</v>
      </c>
    </row>
    <row r="96" spans="2:19" hidden="1" x14ac:dyDescent="0.3">
      <c r="B96" s="2" t="s">
        <v>103</v>
      </c>
      <c r="C96" s="2" t="s">
        <v>51</v>
      </c>
      <c r="D96" s="6" t="s">
        <v>98</v>
      </c>
      <c r="E96" s="6" t="s">
        <v>21</v>
      </c>
      <c r="F96" s="6" t="s">
        <v>43</v>
      </c>
      <c r="G96" s="4">
        <v>45183</v>
      </c>
      <c r="H96" s="3">
        <v>2024</v>
      </c>
      <c r="I96" s="3">
        <v>2025</v>
      </c>
      <c r="J96" s="4">
        <f t="shared" si="20"/>
        <v>45549</v>
      </c>
      <c r="K96" s="4">
        <f t="shared" si="21"/>
        <v>45914</v>
      </c>
      <c r="L96" s="4">
        <v>46387</v>
      </c>
      <c r="M96" s="3">
        <v>21</v>
      </c>
      <c r="N96" s="3">
        <v>21</v>
      </c>
      <c r="O96" s="4">
        <v>46237</v>
      </c>
      <c r="P96" s="10">
        <f t="shared" ref="P96:P131" si="24">IF(OR(O96="",N96=""),"",O96+N96-1)</f>
        <v>46257</v>
      </c>
      <c r="Q96" s="9">
        <f t="shared" ref="Q96:Q127" si="25">IF($J96="","",MAX(0,$M96-SUMIFS($N:$N,$J:$J,$J96,$K:$K,$K96)))</f>
        <v>0</v>
      </c>
      <c r="R96" s="11" t="str">
        <f t="shared" si="16"/>
        <v>OK</v>
      </c>
      <c r="S96" s="11" t="str">
        <f t="shared" si="23"/>
        <v>OK</v>
      </c>
    </row>
    <row r="97" spans="2:19" hidden="1" x14ac:dyDescent="0.3">
      <c r="B97" s="2" t="s">
        <v>103</v>
      </c>
      <c r="C97" s="2" t="s">
        <v>51</v>
      </c>
      <c r="D97" s="6" t="s">
        <v>98</v>
      </c>
      <c r="E97" s="6" t="s">
        <v>21</v>
      </c>
      <c r="F97" s="6" t="s">
        <v>43</v>
      </c>
      <c r="G97" s="4">
        <v>45183</v>
      </c>
      <c r="H97" s="3">
        <v>2025</v>
      </c>
      <c r="I97" s="3">
        <v>2026</v>
      </c>
      <c r="J97" s="4">
        <f t="shared" si="20"/>
        <v>45914</v>
      </c>
      <c r="K97" s="4">
        <f t="shared" si="21"/>
        <v>46279</v>
      </c>
      <c r="L97" s="4">
        <v>46387</v>
      </c>
      <c r="M97" s="3">
        <v>7</v>
      </c>
      <c r="N97" s="3">
        <v>7</v>
      </c>
      <c r="O97" s="4">
        <v>46349</v>
      </c>
      <c r="P97" s="10">
        <f t="shared" si="24"/>
        <v>46355</v>
      </c>
      <c r="Q97" s="9">
        <f t="shared" si="25"/>
        <v>0</v>
      </c>
      <c r="R97" s="11" t="str">
        <f t="shared" ref="R97:R132" si="26">IF(OR($M97="",$N97=""),"",IF($N97&gt;$M97,"EXCEDE SALDO",IF(OR($O97="",$P97=""),"OK",IF($P97&lt;$O97,"DATAS INVÁLIDAS",IF($P97&gt;$L97,"FORA DO PRAZO","OK")))))</f>
        <v>OK</v>
      </c>
      <c r="S97" s="11" t="str">
        <f t="shared" si="23"/>
        <v>OK</v>
      </c>
    </row>
    <row r="98" spans="2:19" hidden="1" x14ac:dyDescent="0.3">
      <c r="B98" s="2" t="s">
        <v>103</v>
      </c>
      <c r="C98" s="2" t="s">
        <v>52</v>
      </c>
      <c r="D98" s="6" t="s">
        <v>123</v>
      </c>
      <c r="E98" s="6" t="s">
        <v>49</v>
      </c>
      <c r="F98" s="6" t="s">
        <v>49</v>
      </c>
      <c r="G98" s="4">
        <v>45524</v>
      </c>
      <c r="H98" s="3" t="s">
        <v>143</v>
      </c>
      <c r="I98" s="3">
        <v>2025</v>
      </c>
      <c r="J98" s="4">
        <f t="shared" ref="J98:J111" si="27">DATE($H98,MONTH($G98),DAY($G98))</f>
        <v>45524</v>
      </c>
      <c r="K98" s="4">
        <f t="shared" ref="K98:K111" si="28">DATE($H98+1,MONTH($G98),DAY($G98))</f>
        <v>45889</v>
      </c>
      <c r="L98" s="4">
        <f t="shared" ref="L98:L103" si="29">DATE(YEAR($K98)+1,MONTH($K98),DAY($K98))</f>
        <v>46254</v>
      </c>
      <c r="M98" s="3">
        <v>21</v>
      </c>
      <c r="N98" s="3">
        <v>16</v>
      </c>
      <c r="O98" s="4">
        <v>45887</v>
      </c>
      <c r="P98" s="10">
        <f t="shared" si="24"/>
        <v>45902</v>
      </c>
      <c r="Q98" s="9">
        <f t="shared" si="25"/>
        <v>0</v>
      </c>
      <c r="R98" s="11" t="str">
        <f t="shared" si="26"/>
        <v>OK</v>
      </c>
      <c r="S98" s="11" t="str">
        <f t="shared" si="23"/>
        <v>OK</v>
      </c>
    </row>
    <row r="99" spans="2:19" hidden="1" x14ac:dyDescent="0.3">
      <c r="B99" s="2" t="s">
        <v>103</v>
      </c>
      <c r="C99" s="2" t="s">
        <v>52</v>
      </c>
      <c r="D99" s="6" t="s">
        <v>123</v>
      </c>
      <c r="E99" s="6" t="s">
        <v>49</v>
      </c>
      <c r="F99" s="6" t="s">
        <v>49</v>
      </c>
      <c r="G99" s="4">
        <v>45524</v>
      </c>
      <c r="H99" s="3" t="s">
        <v>143</v>
      </c>
      <c r="I99" s="3">
        <v>2025</v>
      </c>
      <c r="J99" s="4">
        <f t="shared" si="27"/>
        <v>45524</v>
      </c>
      <c r="K99" s="4">
        <f t="shared" si="28"/>
        <v>45889</v>
      </c>
      <c r="L99" s="4">
        <f t="shared" si="29"/>
        <v>46254</v>
      </c>
      <c r="M99" s="3">
        <v>5</v>
      </c>
      <c r="N99" s="3">
        <v>5</v>
      </c>
      <c r="O99" s="4">
        <v>46181</v>
      </c>
      <c r="P99" s="10">
        <f t="shared" si="24"/>
        <v>46185</v>
      </c>
      <c r="Q99" s="9">
        <f t="shared" si="25"/>
        <v>0</v>
      </c>
      <c r="R99" s="11" t="str">
        <f t="shared" si="26"/>
        <v>OK</v>
      </c>
      <c r="S99" s="11" t="str">
        <f t="shared" si="23"/>
        <v>OK</v>
      </c>
    </row>
    <row r="100" spans="2:19" hidden="1" x14ac:dyDescent="0.3">
      <c r="B100" s="2" t="s">
        <v>103</v>
      </c>
      <c r="C100" s="2" t="s">
        <v>52</v>
      </c>
      <c r="D100" s="6" t="s">
        <v>123</v>
      </c>
      <c r="E100" s="6" t="s">
        <v>49</v>
      </c>
      <c r="F100" s="6" t="s">
        <v>49</v>
      </c>
      <c r="G100" s="4">
        <v>45524</v>
      </c>
      <c r="H100" s="3">
        <v>2025</v>
      </c>
      <c r="I100" s="3">
        <v>20236</v>
      </c>
      <c r="J100" s="4">
        <f t="shared" si="27"/>
        <v>45889</v>
      </c>
      <c r="K100" s="4">
        <f t="shared" si="28"/>
        <v>46254</v>
      </c>
      <c r="L100" s="4">
        <f t="shared" si="29"/>
        <v>46619</v>
      </c>
      <c r="M100" s="3">
        <v>21</v>
      </c>
      <c r="N100" s="3">
        <v>15</v>
      </c>
      <c r="O100" s="4">
        <v>46329</v>
      </c>
      <c r="P100" s="10">
        <f t="shared" si="24"/>
        <v>46343</v>
      </c>
      <c r="Q100" s="9">
        <f t="shared" si="25"/>
        <v>6</v>
      </c>
      <c r="R100" s="11" t="str">
        <f t="shared" si="26"/>
        <v>OK</v>
      </c>
      <c r="S100" s="11" t="str">
        <f t="shared" si="23"/>
        <v>OK</v>
      </c>
    </row>
    <row r="101" spans="2:19" hidden="1" x14ac:dyDescent="0.3">
      <c r="B101" s="2" t="s">
        <v>103</v>
      </c>
      <c r="C101" s="2" t="s">
        <v>53</v>
      </c>
      <c r="D101" s="6" t="s">
        <v>106</v>
      </c>
      <c r="E101" s="2" t="s">
        <v>34</v>
      </c>
      <c r="F101" s="2" t="s">
        <v>34</v>
      </c>
      <c r="G101" s="4">
        <v>44939</v>
      </c>
      <c r="H101" s="3">
        <v>2024</v>
      </c>
      <c r="I101" s="3">
        <v>2025</v>
      </c>
      <c r="J101" s="4">
        <f t="shared" si="27"/>
        <v>45304</v>
      </c>
      <c r="K101" s="4">
        <f t="shared" si="28"/>
        <v>45670</v>
      </c>
      <c r="L101" s="4">
        <f t="shared" si="29"/>
        <v>46035</v>
      </c>
      <c r="M101" s="3">
        <v>21</v>
      </c>
      <c r="N101" s="3">
        <v>14</v>
      </c>
      <c r="O101" s="4">
        <v>45691</v>
      </c>
      <c r="P101" s="10">
        <f t="shared" si="24"/>
        <v>45704</v>
      </c>
      <c r="Q101" s="9">
        <f t="shared" si="25"/>
        <v>0</v>
      </c>
      <c r="R101" s="11" t="str">
        <f t="shared" si="26"/>
        <v>OK</v>
      </c>
      <c r="S101" s="11" t="str">
        <f t="shared" si="23"/>
        <v>OK</v>
      </c>
    </row>
    <row r="102" spans="2:19" hidden="1" x14ac:dyDescent="0.3">
      <c r="B102" s="2" t="s">
        <v>103</v>
      </c>
      <c r="C102" s="2" t="s">
        <v>53</v>
      </c>
      <c r="D102" s="6" t="s">
        <v>106</v>
      </c>
      <c r="E102" s="2" t="s">
        <v>34</v>
      </c>
      <c r="F102" s="2" t="s">
        <v>34</v>
      </c>
      <c r="G102" s="4">
        <v>44939</v>
      </c>
      <c r="H102" s="3">
        <v>2024</v>
      </c>
      <c r="I102" s="3">
        <v>2025</v>
      </c>
      <c r="J102" s="4">
        <f t="shared" si="27"/>
        <v>45304</v>
      </c>
      <c r="K102" s="4">
        <f t="shared" si="28"/>
        <v>45670</v>
      </c>
      <c r="L102" s="4">
        <f t="shared" si="29"/>
        <v>46035</v>
      </c>
      <c r="M102" s="3">
        <v>7</v>
      </c>
      <c r="N102" s="3">
        <v>7</v>
      </c>
      <c r="O102" s="4">
        <v>46116</v>
      </c>
      <c r="P102" s="10">
        <f t="shared" si="24"/>
        <v>46122</v>
      </c>
      <c r="Q102" s="9">
        <f t="shared" si="25"/>
        <v>0</v>
      </c>
      <c r="R102" s="11" t="str">
        <f t="shared" si="26"/>
        <v>FORA DO PRAZO</v>
      </c>
      <c r="S102" s="11" t="str">
        <f t="shared" si="23"/>
        <v>FORA DO PRAZO</v>
      </c>
    </row>
    <row r="103" spans="2:19" hidden="1" x14ac:dyDescent="0.3">
      <c r="B103" s="2" t="s">
        <v>103</v>
      </c>
      <c r="C103" s="2" t="s">
        <v>53</v>
      </c>
      <c r="D103" s="6" t="s">
        <v>106</v>
      </c>
      <c r="E103" s="2" t="s">
        <v>34</v>
      </c>
      <c r="F103" s="2" t="s">
        <v>34</v>
      </c>
      <c r="G103" s="4">
        <v>44939</v>
      </c>
      <c r="H103" s="3">
        <v>2025</v>
      </c>
      <c r="I103" s="3">
        <v>2026</v>
      </c>
      <c r="J103" s="4">
        <f t="shared" si="27"/>
        <v>45670</v>
      </c>
      <c r="K103" s="4">
        <f t="shared" si="28"/>
        <v>46035</v>
      </c>
      <c r="L103" s="4">
        <f t="shared" si="29"/>
        <v>46400</v>
      </c>
      <c r="M103" s="3">
        <v>21</v>
      </c>
      <c r="N103" s="3">
        <v>21</v>
      </c>
      <c r="O103" s="4">
        <v>46389</v>
      </c>
      <c r="P103" s="10">
        <f t="shared" si="24"/>
        <v>46409</v>
      </c>
      <c r="Q103" s="9">
        <f t="shared" si="25"/>
        <v>0</v>
      </c>
      <c r="R103" s="11" t="str">
        <f t="shared" si="26"/>
        <v>FORA DO PRAZO</v>
      </c>
      <c r="S103" s="11" t="str">
        <f t="shared" si="23"/>
        <v>FORA DO PRAZO</v>
      </c>
    </row>
    <row r="104" spans="2:19" hidden="1" x14ac:dyDescent="0.3">
      <c r="B104" s="2" t="s">
        <v>103</v>
      </c>
      <c r="C104" s="2" t="s">
        <v>54</v>
      </c>
      <c r="D104" s="6" t="s">
        <v>114</v>
      </c>
      <c r="E104" s="6" t="s">
        <v>59</v>
      </c>
      <c r="F104" s="6" t="s">
        <v>59</v>
      </c>
      <c r="G104" s="4">
        <v>44741</v>
      </c>
      <c r="H104" s="3">
        <v>2024</v>
      </c>
      <c r="I104" s="3">
        <v>2025</v>
      </c>
      <c r="J104" s="4">
        <f t="shared" si="27"/>
        <v>45472</v>
      </c>
      <c r="K104" s="4">
        <f t="shared" si="28"/>
        <v>45837</v>
      </c>
      <c r="L104" s="4">
        <v>46387</v>
      </c>
      <c r="M104" s="3">
        <v>21</v>
      </c>
      <c r="N104" s="3">
        <v>14</v>
      </c>
      <c r="O104" s="4">
        <v>46139</v>
      </c>
      <c r="P104" s="10">
        <f t="shared" si="24"/>
        <v>46152</v>
      </c>
      <c r="Q104" s="9">
        <f t="shared" si="25"/>
        <v>0</v>
      </c>
      <c r="R104" s="11" t="str">
        <f t="shared" si="26"/>
        <v>OK</v>
      </c>
      <c r="S104" s="11" t="str">
        <f t="shared" si="23"/>
        <v>OK</v>
      </c>
    </row>
    <row r="105" spans="2:19" hidden="1" x14ac:dyDescent="0.3">
      <c r="B105" s="2" t="s">
        <v>103</v>
      </c>
      <c r="C105" s="2" t="s">
        <v>88</v>
      </c>
      <c r="D105" s="6" t="s">
        <v>110</v>
      </c>
      <c r="E105" s="6" t="s">
        <v>32</v>
      </c>
      <c r="F105" s="6" t="s">
        <v>13</v>
      </c>
      <c r="G105" s="4">
        <v>45924</v>
      </c>
      <c r="H105" s="3" t="s">
        <v>142</v>
      </c>
      <c r="I105" s="3">
        <v>2026</v>
      </c>
      <c r="J105" s="4">
        <f t="shared" si="27"/>
        <v>45924</v>
      </c>
      <c r="K105" s="4">
        <f t="shared" si="28"/>
        <v>46289</v>
      </c>
      <c r="L105" s="4">
        <f t="shared" ref="L105:L106" si="30">DATE(YEAR($K105)+1,MONTH($K105),DAY($K105))</f>
        <v>46654</v>
      </c>
      <c r="M105" s="3">
        <v>21</v>
      </c>
      <c r="N105" s="3">
        <v>14</v>
      </c>
      <c r="O105" s="4">
        <v>46195</v>
      </c>
      <c r="P105" s="10">
        <f t="shared" si="24"/>
        <v>46208</v>
      </c>
      <c r="Q105" s="9">
        <f t="shared" si="25"/>
        <v>0</v>
      </c>
      <c r="R105" s="11" t="str">
        <f t="shared" si="26"/>
        <v>OK</v>
      </c>
      <c r="S105" s="11" t="str">
        <f t="shared" si="23"/>
        <v>OK</v>
      </c>
    </row>
    <row r="106" spans="2:19" hidden="1" x14ac:dyDescent="0.3">
      <c r="B106" s="2" t="s">
        <v>103</v>
      </c>
      <c r="C106" s="2" t="s">
        <v>88</v>
      </c>
      <c r="D106" s="6" t="s">
        <v>110</v>
      </c>
      <c r="E106" s="6" t="s">
        <v>32</v>
      </c>
      <c r="F106" s="6" t="s">
        <v>13</v>
      </c>
      <c r="G106" s="4">
        <v>45924</v>
      </c>
      <c r="H106" s="3" t="s">
        <v>142</v>
      </c>
      <c r="I106" s="3">
        <v>2026</v>
      </c>
      <c r="J106" s="4">
        <f t="shared" si="27"/>
        <v>45924</v>
      </c>
      <c r="K106" s="4">
        <f t="shared" si="28"/>
        <v>46289</v>
      </c>
      <c r="L106" s="4">
        <f t="shared" si="30"/>
        <v>46654</v>
      </c>
      <c r="M106" s="3">
        <v>7</v>
      </c>
      <c r="N106" s="3">
        <v>7</v>
      </c>
      <c r="O106" s="4">
        <v>46293</v>
      </c>
      <c r="P106" s="10">
        <f t="shared" si="24"/>
        <v>46299</v>
      </c>
      <c r="Q106" s="9">
        <f t="shared" si="25"/>
        <v>0</v>
      </c>
      <c r="R106" s="11" t="str">
        <f t="shared" si="26"/>
        <v>OK</v>
      </c>
      <c r="S106" s="11" t="str">
        <f t="shared" si="23"/>
        <v>OK</v>
      </c>
    </row>
    <row r="107" spans="2:19" hidden="1" x14ac:dyDescent="0.3">
      <c r="B107" s="2" t="s">
        <v>103</v>
      </c>
      <c r="C107" s="2" t="s">
        <v>56</v>
      </c>
      <c r="D107" s="6" t="s">
        <v>111</v>
      </c>
      <c r="E107" s="6" t="s">
        <v>34</v>
      </c>
      <c r="F107" s="6" t="s">
        <v>34</v>
      </c>
      <c r="G107" s="4">
        <v>45679</v>
      </c>
      <c r="H107" s="3" t="s">
        <v>142</v>
      </c>
      <c r="I107" s="3">
        <v>2026</v>
      </c>
      <c r="J107" s="4">
        <f t="shared" si="27"/>
        <v>45679</v>
      </c>
      <c r="K107" s="4">
        <f t="shared" si="28"/>
        <v>46044</v>
      </c>
      <c r="L107" s="4">
        <v>46387</v>
      </c>
      <c r="M107" s="3">
        <v>21</v>
      </c>
      <c r="N107" s="3">
        <v>14</v>
      </c>
      <c r="O107" s="4">
        <v>46160</v>
      </c>
      <c r="P107" s="10">
        <f t="shared" si="24"/>
        <v>46173</v>
      </c>
      <c r="Q107" s="9">
        <f t="shared" si="25"/>
        <v>0</v>
      </c>
      <c r="R107" s="11" t="str">
        <f t="shared" si="26"/>
        <v>OK</v>
      </c>
      <c r="S107" s="11" t="str">
        <f t="shared" si="23"/>
        <v>OK</v>
      </c>
    </row>
    <row r="108" spans="2:19" hidden="1" x14ac:dyDescent="0.3">
      <c r="B108" s="2" t="s">
        <v>103</v>
      </c>
      <c r="C108" s="2" t="s">
        <v>56</v>
      </c>
      <c r="D108" s="6" t="s">
        <v>111</v>
      </c>
      <c r="E108" s="6" t="s">
        <v>34</v>
      </c>
      <c r="F108" s="6" t="s">
        <v>34</v>
      </c>
      <c r="G108" s="4">
        <v>45679</v>
      </c>
      <c r="H108" s="3" t="s">
        <v>142</v>
      </c>
      <c r="I108" s="3">
        <v>2026</v>
      </c>
      <c r="J108" s="4">
        <f t="shared" si="27"/>
        <v>45679</v>
      </c>
      <c r="K108" s="4">
        <f t="shared" si="28"/>
        <v>46044</v>
      </c>
      <c r="L108" s="4">
        <v>46387</v>
      </c>
      <c r="M108" s="3">
        <v>7</v>
      </c>
      <c r="N108" s="3">
        <v>7</v>
      </c>
      <c r="O108" s="4">
        <v>46366</v>
      </c>
      <c r="P108" s="10">
        <f t="shared" si="24"/>
        <v>46372</v>
      </c>
      <c r="Q108" s="9">
        <f t="shared" si="25"/>
        <v>0</v>
      </c>
      <c r="R108" s="11" t="str">
        <f t="shared" si="26"/>
        <v>OK</v>
      </c>
      <c r="S108" s="11" t="str">
        <f t="shared" si="23"/>
        <v>OK</v>
      </c>
    </row>
    <row r="109" spans="2:19" hidden="1" x14ac:dyDescent="0.3">
      <c r="B109" s="2" t="s">
        <v>103</v>
      </c>
      <c r="C109" s="2" t="s">
        <v>57</v>
      </c>
      <c r="D109" s="6" t="s">
        <v>112</v>
      </c>
      <c r="E109" s="6" t="s">
        <v>32</v>
      </c>
      <c r="F109" s="6" t="s">
        <v>13</v>
      </c>
      <c r="G109" s="4">
        <v>45728</v>
      </c>
      <c r="H109" s="3" t="s">
        <v>142</v>
      </c>
      <c r="I109" s="3">
        <v>2026</v>
      </c>
      <c r="J109" s="4">
        <f t="shared" si="27"/>
        <v>45728</v>
      </c>
      <c r="K109" s="4">
        <f t="shared" si="28"/>
        <v>46093</v>
      </c>
      <c r="L109" s="4">
        <f t="shared" ref="L109:L111" si="31">DATE(YEAR($K109)+1,MONTH($K109),DAY($K109))</f>
        <v>46458</v>
      </c>
      <c r="M109" s="3">
        <v>7</v>
      </c>
      <c r="N109" s="3">
        <v>7</v>
      </c>
      <c r="O109" s="4">
        <v>46118</v>
      </c>
      <c r="P109" s="10">
        <f t="shared" si="24"/>
        <v>46124</v>
      </c>
      <c r="Q109" s="9">
        <f t="shared" si="25"/>
        <v>0</v>
      </c>
      <c r="R109" s="11" t="str">
        <f t="shared" si="26"/>
        <v>OK</v>
      </c>
      <c r="S109" s="11" t="str">
        <f t="shared" si="23"/>
        <v>OK</v>
      </c>
    </row>
    <row r="110" spans="2:19" hidden="1" x14ac:dyDescent="0.3">
      <c r="B110" s="2" t="s">
        <v>103</v>
      </c>
      <c r="C110" s="2" t="s">
        <v>58</v>
      </c>
      <c r="D110" s="6" t="s">
        <v>108</v>
      </c>
      <c r="E110" s="6" t="s">
        <v>59</v>
      </c>
      <c r="F110" s="6" t="s">
        <v>43</v>
      </c>
      <c r="G110" s="4">
        <v>45000</v>
      </c>
      <c r="H110" s="3">
        <v>2024</v>
      </c>
      <c r="I110" s="3">
        <v>2025</v>
      </c>
      <c r="J110" s="4">
        <f t="shared" si="27"/>
        <v>45366</v>
      </c>
      <c r="K110" s="4">
        <f t="shared" si="28"/>
        <v>45731</v>
      </c>
      <c r="L110" s="4">
        <f t="shared" si="31"/>
        <v>46096</v>
      </c>
      <c r="M110" s="3">
        <v>21</v>
      </c>
      <c r="N110" s="3">
        <v>21</v>
      </c>
      <c r="O110" s="4">
        <v>46357</v>
      </c>
      <c r="P110" s="10">
        <f t="shared" si="24"/>
        <v>46377</v>
      </c>
      <c r="Q110" s="9">
        <f t="shared" si="25"/>
        <v>0</v>
      </c>
      <c r="R110" s="11" t="str">
        <f t="shared" si="26"/>
        <v>FORA DO PRAZO</v>
      </c>
      <c r="S110" s="11" t="str">
        <f t="shared" si="23"/>
        <v>FORA DO PRAZO</v>
      </c>
    </row>
    <row r="111" spans="2:19" hidden="1" x14ac:dyDescent="0.3">
      <c r="B111" s="2" t="s">
        <v>103</v>
      </c>
      <c r="C111" s="2" t="s">
        <v>60</v>
      </c>
      <c r="D111" s="6" t="s">
        <v>99</v>
      </c>
      <c r="E111" s="2" t="s">
        <v>22</v>
      </c>
      <c r="F111" s="6" t="s">
        <v>131</v>
      </c>
      <c r="G111" s="4">
        <v>45140</v>
      </c>
      <c r="H111" s="3">
        <v>2024</v>
      </c>
      <c r="I111" s="3">
        <v>2025</v>
      </c>
      <c r="J111" s="4">
        <f t="shared" si="27"/>
        <v>45506</v>
      </c>
      <c r="K111" s="4">
        <f t="shared" si="28"/>
        <v>45871</v>
      </c>
      <c r="L111" s="4">
        <f t="shared" si="31"/>
        <v>46236</v>
      </c>
      <c r="M111" s="3">
        <v>21</v>
      </c>
      <c r="N111" s="3">
        <v>21</v>
      </c>
      <c r="O111" s="4">
        <v>45836</v>
      </c>
      <c r="P111" s="10">
        <f t="shared" si="24"/>
        <v>45856</v>
      </c>
      <c r="Q111" s="9">
        <f t="shared" si="25"/>
        <v>0</v>
      </c>
      <c r="R111" s="11" t="str">
        <f t="shared" si="26"/>
        <v>OK</v>
      </c>
      <c r="S111" s="11" t="str">
        <f t="shared" si="23"/>
        <v>OK</v>
      </c>
    </row>
    <row r="112" spans="2:19" hidden="1" x14ac:dyDescent="0.3">
      <c r="B112" s="2" t="s">
        <v>103</v>
      </c>
      <c r="C112" s="2" t="s">
        <v>64</v>
      </c>
      <c r="D112" s="6" t="s">
        <v>114</v>
      </c>
      <c r="E112" s="6" t="s">
        <v>70</v>
      </c>
      <c r="F112" s="6" t="s">
        <v>13</v>
      </c>
      <c r="G112" s="4">
        <v>45371</v>
      </c>
      <c r="H112" s="3" t="s">
        <v>143</v>
      </c>
      <c r="I112" s="3">
        <v>2025</v>
      </c>
      <c r="J112" s="4">
        <f t="shared" ref="J112:J133" si="32">DATE($H112,MONTH($G112),DAY($G112))</f>
        <v>45371</v>
      </c>
      <c r="K112" s="4">
        <f t="shared" ref="K112:K133" si="33">DATE($H112+1,MONTH($G112),DAY($G112))</f>
        <v>45736</v>
      </c>
      <c r="L112" s="4">
        <f t="shared" ref="L112:L117" si="34">DATE(YEAR($K112)+1,MONTH($K112),DAY($K112))</f>
        <v>46101</v>
      </c>
      <c r="M112" s="3">
        <v>21</v>
      </c>
      <c r="N112" s="3">
        <v>14</v>
      </c>
      <c r="O112" s="4">
        <v>45831</v>
      </c>
      <c r="P112" s="10">
        <f t="shared" si="24"/>
        <v>45844</v>
      </c>
      <c r="Q112" s="9">
        <f t="shared" si="25"/>
        <v>0</v>
      </c>
      <c r="R112" s="11" t="str">
        <f t="shared" si="26"/>
        <v>OK</v>
      </c>
      <c r="S112" s="11" t="str">
        <f t="shared" ref="S112:S155" si="35">IF(OR($M112="",$N112=""),"",IF($N112&gt;$M112,"EXCEDE SALDO",IF(OR($O112="",$P112=""),"OK",IF($P112&lt;$O112,"DATAS INVÁLIDAS",IF($P112&gt;$L112,"FORA DO PRAZO","OK")))))</f>
        <v>OK</v>
      </c>
    </row>
    <row r="113" spans="2:19" hidden="1" x14ac:dyDescent="0.3">
      <c r="B113" s="2" t="s">
        <v>103</v>
      </c>
      <c r="C113" s="2" t="s">
        <v>64</v>
      </c>
      <c r="D113" s="6" t="s">
        <v>114</v>
      </c>
      <c r="E113" s="6" t="s">
        <v>70</v>
      </c>
      <c r="F113" s="6" t="s">
        <v>13</v>
      </c>
      <c r="G113" s="4">
        <v>45371</v>
      </c>
      <c r="H113" s="3" t="s">
        <v>143</v>
      </c>
      <c r="I113" s="3">
        <v>2025</v>
      </c>
      <c r="J113" s="4">
        <f t="shared" si="32"/>
        <v>45371</v>
      </c>
      <c r="K113" s="4">
        <f t="shared" si="33"/>
        <v>45736</v>
      </c>
      <c r="L113" s="4">
        <f t="shared" si="34"/>
        <v>46101</v>
      </c>
      <c r="M113" s="3">
        <v>7</v>
      </c>
      <c r="N113" s="3">
        <v>7</v>
      </c>
      <c r="O113" s="4">
        <v>45964</v>
      </c>
      <c r="P113" s="10">
        <f t="shared" si="24"/>
        <v>45970</v>
      </c>
      <c r="Q113" s="9">
        <f t="shared" si="25"/>
        <v>0</v>
      </c>
      <c r="R113" s="11" t="str">
        <f t="shared" si="26"/>
        <v>OK</v>
      </c>
      <c r="S113" s="11" t="str">
        <f t="shared" si="35"/>
        <v>OK</v>
      </c>
    </row>
    <row r="114" spans="2:19" hidden="1" x14ac:dyDescent="0.3">
      <c r="B114" s="2" t="s">
        <v>103</v>
      </c>
      <c r="C114" s="2" t="s">
        <v>64</v>
      </c>
      <c r="D114" s="6" t="s">
        <v>114</v>
      </c>
      <c r="E114" s="6" t="s">
        <v>70</v>
      </c>
      <c r="F114" s="6" t="s">
        <v>13</v>
      </c>
      <c r="G114" s="4">
        <v>45371</v>
      </c>
      <c r="H114" s="3">
        <v>2025</v>
      </c>
      <c r="I114" s="3">
        <v>2026</v>
      </c>
      <c r="J114" s="4">
        <f t="shared" si="32"/>
        <v>45736</v>
      </c>
      <c r="K114" s="4">
        <f t="shared" si="33"/>
        <v>46101</v>
      </c>
      <c r="L114" s="4">
        <f t="shared" si="34"/>
        <v>46466</v>
      </c>
      <c r="M114" s="3">
        <v>21</v>
      </c>
      <c r="N114" s="3">
        <v>7</v>
      </c>
      <c r="O114" s="4">
        <v>46328</v>
      </c>
      <c r="P114" s="10">
        <f t="shared" si="24"/>
        <v>46334</v>
      </c>
      <c r="Q114" s="9">
        <f t="shared" si="25"/>
        <v>0</v>
      </c>
      <c r="R114" s="11" t="str">
        <f t="shared" si="26"/>
        <v>OK</v>
      </c>
      <c r="S114" s="11" t="str">
        <f t="shared" si="35"/>
        <v>OK</v>
      </c>
    </row>
    <row r="115" spans="2:19" hidden="1" x14ac:dyDescent="0.3">
      <c r="B115" s="2" t="s">
        <v>103</v>
      </c>
      <c r="C115" s="2" t="s">
        <v>64</v>
      </c>
      <c r="D115" s="6" t="s">
        <v>114</v>
      </c>
      <c r="E115" s="6" t="s">
        <v>70</v>
      </c>
      <c r="F115" s="6" t="s">
        <v>13</v>
      </c>
      <c r="G115" s="4">
        <v>45371</v>
      </c>
      <c r="H115" s="3">
        <v>2025</v>
      </c>
      <c r="I115" s="3">
        <v>2026</v>
      </c>
      <c r="J115" s="4">
        <f t="shared" si="32"/>
        <v>45736</v>
      </c>
      <c r="K115" s="4">
        <f t="shared" si="33"/>
        <v>46101</v>
      </c>
      <c r="L115" s="4">
        <f t="shared" si="34"/>
        <v>46466</v>
      </c>
      <c r="M115" s="3">
        <v>14</v>
      </c>
      <c r="N115" s="3">
        <v>14</v>
      </c>
      <c r="O115" s="4">
        <v>46370</v>
      </c>
      <c r="P115" s="10">
        <f t="shared" si="24"/>
        <v>46383</v>
      </c>
      <c r="Q115" s="9">
        <f t="shared" si="25"/>
        <v>0</v>
      </c>
      <c r="R115" s="11" t="str">
        <f t="shared" si="26"/>
        <v>OK</v>
      </c>
      <c r="S115" s="11" t="str">
        <f t="shared" si="35"/>
        <v>OK</v>
      </c>
    </row>
    <row r="116" spans="2:19" hidden="1" x14ac:dyDescent="0.3">
      <c r="B116" s="2" t="s">
        <v>103</v>
      </c>
      <c r="C116" s="2" t="s">
        <v>87</v>
      </c>
      <c r="D116" s="6" t="s">
        <v>116</v>
      </c>
      <c r="E116" s="6" t="s">
        <v>70</v>
      </c>
      <c r="F116" s="6" t="s">
        <v>13</v>
      </c>
      <c r="G116" s="4">
        <v>45908</v>
      </c>
      <c r="H116" s="3" t="s">
        <v>142</v>
      </c>
      <c r="I116" s="3">
        <v>2026</v>
      </c>
      <c r="J116" s="4">
        <f t="shared" si="32"/>
        <v>45908</v>
      </c>
      <c r="K116" s="4">
        <f t="shared" si="33"/>
        <v>46273</v>
      </c>
      <c r="L116" s="4">
        <f t="shared" si="34"/>
        <v>46638</v>
      </c>
      <c r="M116" s="3">
        <v>21</v>
      </c>
      <c r="N116" s="3">
        <v>7</v>
      </c>
      <c r="O116" s="4">
        <v>46265</v>
      </c>
      <c r="P116" s="10">
        <f t="shared" si="24"/>
        <v>46271</v>
      </c>
      <c r="Q116" s="9">
        <f t="shared" si="25"/>
        <v>0</v>
      </c>
      <c r="R116" s="11" t="str">
        <f t="shared" si="26"/>
        <v>OK</v>
      </c>
      <c r="S116" s="11" t="str">
        <f t="shared" si="35"/>
        <v>OK</v>
      </c>
    </row>
    <row r="117" spans="2:19" hidden="1" x14ac:dyDescent="0.3">
      <c r="B117" s="2" t="s">
        <v>103</v>
      </c>
      <c r="C117" s="2" t="s">
        <v>87</v>
      </c>
      <c r="D117" s="6" t="s">
        <v>116</v>
      </c>
      <c r="E117" s="6" t="s">
        <v>70</v>
      </c>
      <c r="F117" s="6" t="s">
        <v>13</v>
      </c>
      <c r="G117" s="4">
        <v>45908</v>
      </c>
      <c r="H117" s="3" t="s">
        <v>142</v>
      </c>
      <c r="I117" s="3">
        <v>2026</v>
      </c>
      <c r="J117" s="4">
        <f t="shared" si="32"/>
        <v>45908</v>
      </c>
      <c r="K117" s="4">
        <f t="shared" si="33"/>
        <v>46273</v>
      </c>
      <c r="L117" s="4">
        <f t="shared" si="34"/>
        <v>46638</v>
      </c>
      <c r="M117" s="3">
        <v>14</v>
      </c>
      <c r="N117" s="3">
        <v>14</v>
      </c>
      <c r="O117" s="4">
        <v>46405</v>
      </c>
      <c r="P117" s="10">
        <f t="shared" si="24"/>
        <v>46418</v>
      </c>
      <c r="Q117" s="9">
        <f t="shared" si="25"/>
        <v>0</v>
      </c>
      <c r="R117" s="11" t="str">
        <f t="shared" si="26"/>
        <v>OK</v>
      </c>
      <c r="S117" s="11" t="str">
        <f t="shared" si="35"/>
        <v>OK</v>
      </c>
    </row>
    <row r="118" spans="2:19" hidden="1" x14ac:dyDescent="0.3">
      <c r="B118" s="2" t="s">
        <v>103</v>
      </c>
      <c r="C118" s="2" t="s">
        <v>67</v>
      </c>
      <c r="D118" s="6" t="s">
        <v>107</v>
      </c>
      <c r="E118" s="6" t="s">
        <v>136</v>
      </c>
      <c r="F118" s="6" t="s">
        <v>43</v>
      </c>
      <c r="G118" s="4">
        <v>45083</v>
      </c>
      <c r="H118" s="3">
        <v>2025</v>
      </c>
      <c r="I118" s="3">
        <v>2026</v>
      </c>
      <c r="J118" s="4">
        <f t="shared" si="32"/>
        <v>45814</v>
      </c>
      <c r="K118" s="4">
        <f t="shared" si="33"/>
        <v>46179</v>
      </c>
      <c r="L118" s="4">
        <v>46387</v>
      </c>
      <c r="M118" s="3">
        <v>16</v>
      </c>
      <c r="N118" s="3">
        <v>5</v>
      </c>
      <c r="O118" s="4">
        <v>45938</v>
      </c>
      <c r="P118" s="10">
        <f t="shared" si="24"/>
        <v>45942</v>
      </c>
      <c r="Q118" s="9">
        <f t="shared" si="25"/>
        <v>11</v>
      </c>
      <c r="R118" s="11" t="str">
        <f t="shared" si="26"/>
        <v>OK</v>
      </c>
      <c r="S118" s="11" t="str">
        <f t="shared" si="35"/>
        <v>OK</v>
      </c>
    </row>
    <row r="119" spans="2:19" hidden="1" x14ac:dyDescent="0.3">
      <c r="B119" s="2" t="s">
        <v>103</v>
      </c>
      <c r="C119" s="2" t="s">
        <v>90</v>
      </c>
      <c r="D119" s="6" t="s">
        <v>124</v>
      </c>
      <c r="E119" s="6" t="s">
        <v>32</v>
      </c>
      <c r="F119" s="6" t="s">
        <v>13</v>
      </c>
      <c r="G119" s="4">
        <v>45937</v>
      </c>
      <c r="H119" s="3" t="s">
        <v>142</v>
      </c>
      <c r="I119" s="3">
        <v>2026</v>
      </c>
      <c r="J119" s="4">
        <f t="shared" si="32"/>
        <v>45937</v>
      </c>
      <c r="K119" s="4">
        <f t="shared" si="33"/>
        <v>46302</v>
      </c>
      <c r="L119" s="4">
        <f t="shared" ref="L119:L134" si="36">DATE(YEAR($K119)+1,MONTH($K119),DAY($K119))</f>
        <v>46667</v>
      </c>
      <c r="M119" s="3">
        <v>21</v>
      </c>
      <c r="N119" s="3">
        <v>14</v>
      </c>
      <c r="O119" s="4">
        <v>46223</v>
      </c>
      <c r="P119" s="10">
        <f t="shared" si="24"/>
        <v>46236</v>
      </c>
      <c r="Q119" s="9">
        <f t="shared" si="25"/>
        <v>0</v>
      </c>
      <c r="R119" s="11" t="str">
        <f t="shared" si="26"/>
        <v>OK</v>
      </c>
      <c r="S119" s="11" t="str">
        <f t="shared" si="35"/>
        <v>OK</v>
      </c>
    </row>
    <row r="120" spans="2:19" hidden="1" x14ac:dyDescent="0.3">
      <c r="B120" s="2" t="s">
        <v>103</v>
      </c>
      <c r="C120" s="2" t="s">
        <v>90</v>
      </c>
      <c r="D120" s="6" t="s">
        <v>124</v>
      </c>
      <c r="E120" s="6" t="s">
        <v>32</v>
      </c>
      <c r="F120" s="6" t="s">
        <v>13</v>
      </c>
      <c r="G120" s="4">
        <v>45937</v>
      </c>
      <c r="H120" s="3" t="s">
        <v>142</v>
      </c>
      <c r="I120" s="3">
        <v>2026</v>
      </c>
      <c r="J120" s="4">
        <f t="shared" si="32"/>
        <v>45937</v>
      </c>
      <c r="K120" s="4">
        <f t="shared" si="33"/>
        <v>46302</v>
      </c>
      <c r="L120" s="4">
        <f t="shared" si="36"/>
        <v>46667</v>
      </c>
      <c r="M120" s="3">
        <v>7</v>
      </c>
      <c r="N120" s="3">
        <v>7</v>
      </c>
      <c r="O120" s="4">
        <v>46342</v>
      </c>
      <c r="P120" s="10">
        <f t="shared" si="24"/>
        <v>46348</v>
      </c>
      <c r="Q120" s="9">
        <f t="shared" si="25"/>
        <v>0</v>
      </c>
      <c r="R120" s="11" t="str">
        <f t="shared" si="26"/>
        <v>OK</v>
      </c>
      <c r="S120" s="11" t="str">
        <f t="shared" si="35"/>
        <v>OK</v>
      </c>
    </row>
    <row r="121" spans="2:19" hidden="1" x14ac:dyDescent="0.3">
      <c r="B121" s="2" t="s">
        <v>103</v>
      </c>
      <c r="C121" s="2" t="s">
        <v>68</v>
      </c>
      <c r="D121" s="6" t="s">
        <v>115</v>
      </c>
      <c r="E121" s="6" t="s">
        <v>130</v>
      </c>
      <c r="F121" s="6" t="s">
        <v>19</v>
      </c>
      <c r="G121" s="4">
        <v>45273</v>
      </c>
      <c r="H121" s="3">
        <v>2024</v>
      </c>
      <c r="I121" s="3">
        <v>2025</v>
      </c>
      <c r="J121" s="4">
        <f t="shared" si="32"/>
        <v>45639</v>
      </c>
      <c r="K121" s="4">
        <f t="shared" si="33"/>
        <v>46004</v>
      </c>
      <c r="L121" s="4">
        <f t="shared" si="36"/>
        <v>46369</v>
      </c>
      <c r="M121" s="3">
        <v>21</v>
      </c>
      <c r="N121" s="3">
        <v>21</v>
      </c>
      <c r="O121" s="4">
        <v>46113</v>
      </c>
      <c r="P121" s="10">
        <f t="shared" si="24"/>
        <v>46133</v>
      </c>
      <c r="Q121" s="9">
        <f t="shared" si="25"/>
        <v>0</v>
      </c>
      <c r="R121" s="11" t="str">
        <f t="shared" si="26"/>
        <v>OK</v>
      </c>
      <c r="S121" s="11" t="str">
        <f t="shared" si="35"/>
        <v>OK</v>
      </c>
    </row>
    <row r="122" spans="2:19" hidden="1" x14ac:dyDescent="0.3">
      <c r="B122" s="2" t="s">
        <v>103</v>
      </c>
      <c r="C122" s="2" t="s">
        <v>68</v>
      </c>
      <c r="D122" s="6" t="s">
        <v>115</v>
      </c>
      <c r="E122" s="6" t="s">
        <v>130</v>
      </c>
      <c r="F122" s="6" t="s">
        <v>19</v>
      </c>
      <c r="G122" s="4">
        <v>45273</v>
      </c>
      <c r="H122" s="3">
        <v>2025</v>
      </c>
      <c r="I122" s="3">
        <v>2026</v>
      </c>
      <c r="J122" s="4">
        <f t="shared" si="32"/>
        <v>46004</v>
      </c>
      <c r="K122" s="4">
        <f t="shared" si="33"/>
        <v>46369</v>
      </c>
      <c r="L122" s="4">
        <f t="shared" si="36"/>
        <v>46734</v>
      </c>
      <c r="M122" s="3">
        <v>0</v>
      </c>
      <c r="N122" s="3">
        <v>0</v>
      </c>
      <c r="O122" s="4"/>
      <c r="P122" s="10" t="str">
        <f t="shared" si="24"/>
        <v/>
      </c>
      <c r="Q122" s="9">
        <f t="shared" si="25"/>
        <v>0</v>
      </c>
      <c r="R122" s="11" t="str">
        <f t="shared" si="26"/>
        <v>OK</v>
      </c>
      <c r="S122" s="11" t="str">
        <f t="shared" si="35"/>
        <v>OK</v>
      </c>
    </row>
    <row r="123" spans="2:19" hidden="1" x14ac:dyDescent="0.3">
      <c r="B123" s="2" t="s">
        <v>103</v>
      </c>
      <c r="C123" s="2" t="s">
        <v>69</v>
      </c>
      <c r="D123" s="6" t="s">
        <v>107</v>
      </c>
      <c r="E123" s="2" t="s">
        <v>34</v>
      </c>
      <c r="F123" s="2" t="s">
        <v>34</v>
      </c>
      <c r="G123" s="4">
        <v>44848</v>
      </c>
      <c r="H123" s="3">
        <v>2024</v>
      </c>
      <c r="I123" s="3">
        <v>2025</v>
      </c>
      <c r="J123" s="4">
        <f t="shared" si="32"/>
        <v>45579</v>
      </c>
      <c r="K123" s="4">
        <f t="shared" si="33"/>
        <v>45944</v>
      </c>
      <c r="L123" s="4">
        <f t="shared" si="36"/>
        <v>46309</v>
      </c>
      <c r="M123" s="3">
        <v>7</v>
      </c>
      <c r="N123" s="3">
        <v>7</v>
      </c>
      <c r="O123" s="4">
        <v>46174</v>
      </c>
      <c r="P123" s="10">
        <f t="shared" si="24"/>
        <v>46180</v>
      </c>
      <c r="Q123" s="9">
        <f t="shared" si="25"/>
        <v>0</v>
      </c>
      <c r="R123" s="11" t="str">
        <f t="shared" si="26"/>
        <v>OK</v>
      </c>
      <c r="S123" s="11" t="str">
        <f t="shared" si="35"/>
        <v>OK</v>
      </c>
    </row>
    <row r="124" spans="2:19" hidden="1" x14ac:dyDescent="0.3">
      <c r="B124" s="2" t="s">
        <v>103</v>
      </c>
      <c r="C124" s="2" t="s">
        <v>69</v>
      </c>
      <c r="D124" s="6" t="s">
        <v>107</v>
      </c>
      <c r="E124" s="2" t="s">
        <v>34</v>
      </c>
      <c r="F124" s="2" t="s">
        <v>34</v>
      </c>
      <c r="G124" s="4">
        <v>44848</v>
      </c>
      <c r="H124" s="3">
        <v>2025</v>
      </c>
      <c r="I124" s="3">
        <v>2026</v>
      </c>
      <c r="J124" s="4">
        <f t="shared" si="32"/>
        <v>45944</v>
      </c>
      <c r="K124" s="4">
        <f t="shared" si="33"/>
        <v>46309</v>
      </c>
      <c r="L124" s="4">
        <f t="shared" si="36"/>
        <v>46674</v>
      </c>
      <c r="M124" s="3">
        <v>21</v>
      </c>
      <c r="N124" s="3">
        <v>21</v>
      </c>
      <c r="O124" s="4">
        <v>46180</v>
      </c>
      <c r="P124" s="10">
        <f t="shared" si="24"/>
        <v>46200</v>
      </c>
      <c r="Q124" s="9">
        <f t="shared" si="25"/>
        <v>0</v>
      </c>
      <c r="R124" s="11" t="str">
        <f t="shared" si="26"/>
        <v>OK</v>
      </c>
      <c r="S124" s="11" t="str">
        <f t="shared" si="35"/>
        <v>OK</v>
      </c>
    </row>
    <row r="125" spans="2:19" hidden="1" x14ac:dyDescent="0.3">
      <c r="B125" s="2" t="s">
        <v>103</v>
      </c>
      <c r="C125" s="2" t="s">
        <v>70</v>
      </c>
      <c r="D125" s="6" t="s">
        <v>108</v>
      </c>
      <c r="E125" s="6" t="s">
        <v>13</v>
      </c>
      <c r="F125" s="6" t="s">
        <v>13</v>
      </c>
      <c r="G125" s="4">
        <v>44986</v>
      </c>
      <c r="H125" s="3">
        <v>2024</v>
      </c>
      <c r="I125" s="3">
        <v>2025</v>
      </c>
      <c r="J125" s="4">
        <f t="shared" si="32"/>
        <v>45352</v>
      </c>
      <c r="K125" s="4">
        <f t="shared" si="33"/>
        <v>45717</v>
      </c>
      <c r="L125" s="4">
        <f t="shared" si="36"/>
        <v>46082</v>
      </c>
      <c r="M125" s="3">
        <v>21</v>
      </c>
      <c r="N125" s="3">
        <v>14</v>
      </c>
      <c r="O125" s="4">
        <v>45852</v>
      </c>
      <c r="P125" s="10">
        <f t="shared" si="24"/>
        <v>45865</v>
      </c>
      <c r="Q125" s="9">
        <f t="shared" si="25"/>
        <v>0</v>
      </c>
      <c r="R125" s="11" t="str">
        <f t="shared" si="26"/>
        <v>OK</v>
      </c>
      <c r="S125" s="11" t="str">
        <f t="shared" si="35"/>
        <v>OK</v>
      </c>
    </row>
    <row r="126" spans="2:19" hidden="1" x14ac:dyDescent="0.3">
      <c r="B126" s="2" t="s">
        <v>103</v>
      </c>
      <c r="C126" s="2" t="s">
        <v>70</v>
      </c>
      <c r="D126" s="6" t="s">
        <v>108</v>
      </c>
      <c r="E126" s="6" t="s">
        <v>13</v>
      </c>
      <c r="F126" s="6" t="s">
        <v>13</v>
      </c>
      <c r="G126" s="4">
        <v>44986</v>
      </c>
      <c r="H126" s="3">
        <v>2024</v>
      </c>
      <c r="I126" s="3">
        <v>2025</v>
      </c>
      <c r="J126" s="4">
        <f t="shared" si="32"/>
        <v>45352</v>
      </c>
      <c r="K126" s="4">
        <f t="shared" si="33"/>
        <v>45717</v>
      </c>
      <c r="L126" s="4">
        <f t="shared" si="36"/>
        <v>46082</v>
      </c>
      <c r="M126" s="3">
        <v>14</v>
      </c>
      <c r="N126" s="3">
        <v>7</v>
      </c>
      <c r="O126" s="4">
        <v>46307</v>
      </c>
      <c r="P126" s="10">
        <f t="shared" si="24"/>
        <v>46313</v>
      </c>
      <c r="Q126" s="9">
        <f t="shared" si="25"/>
        <v>0</v>
      </c>
      <c r="R126" s="11" t="str">
        <f t="shared" si="26"/>
        <v>FORA DO PRAZO</v>
      </c>
      <c r="S126" s="11" t="str">
        <f t="shared" si="35"/>
        <v>FORA DO PRAZO</v>
      </c>
    </row>
    <row r="127" spans="2:19" hidden="1" x14ac:dyDescent="0.3">
      <c r="B127" s="2" t="s">
        <v>103</v>
      </c>
      <c r="C127" s="2" t="s">
        <v>70</v>
      </c>
      <c r="D127" s="6" t="s">
        <v>108</v>
      </c>
      <c r="E127" s="6" t="s">
        <v>13</v>
      </c>
      <c r="F127" s="6" t="s">
        <v>13</v>
      </c>
      <c r="G127" s="4">
        <v>44986</v>
      </c>
      <c r="H127" s="3">
        <v>2025</v>
      </c>
      <c r="I127" s="3">
        <v>2026</v>
      </c>
      <c r="J127" s="4">
        <f t="shared" si="32"/>
        <v>45717</v>
      </c>
      <c r="K127" s="4">
        <f t="shared" si="33"/>
        <v>46082</v>
      </c>
      <c r="L127" s="4">
        <f t="shared" si="36"/>
        <v>46447</v>
      </c>
      <c r="M127" s="3">
        <v>21</v>
      </c>
      <c r="N127" s="3">
        <v>14</v>
      </c>
      <c r="O127" s="4">
        <v>46209</v>
      </c>
      <c r="P127" s="10">
        <f t="shared" si="24"/>
        <v>46222</v>
      </c>
      <c r="Q127" s="9">
        <f t="shared" si="25"/>
        <v>0</v>
      </c>
      <c r="R127" s="11" t="str">
        <f t="shared" si="26"/>
        <v>OK</v>
      </c>
      <c r="S127" s="11" t="str">
        <f t="shared" si="35"/>
        <v>OK</v>
      </c>
    </row>
    <row r="128" spans="2:19" hidden="1" x14ac:dyDescent="0.3">
      <c r="B128" s="2" t="s">
        <v>103</v>
      </c>
      <c r="C128" s="2" t="s">
        <v>70</v>
      </c>
      <c r="D128" s="6" t="s">
        <v>108</v>
      </c>
      <c r="E128" s="6" t="s">
        <v>13</v>
      </c>
      <c r="F128" s="6" t="s">
        <v>13</v>
      </c>
      <c r="G128" s="4">
        <v>44986</v>
      </c>
      <c r="H128" s="3">
        <v>2025</v>
      </c>
      <c r="I128" s="3">
        <v>2026</v>
      </c>
      <c r="J128" s="4">
        <f t="shared" si="32"/>
        <v>45717</v>
      </c>
      <c r="K128" s="4">
        <f t="shared" si="33"/>
        <v>46082</v>
      </c>
      <c r="L128" s="4">
        <f t="shared" si="36"/>
        <v>46447</v>
      </c>
      <c r="M128" s="3">
        <v>7</v>
      </c>
      <c r="N128" s="3">
        <v>7</v>
      </c>
      <c r="O128" s="4">
        <v>46391</v>
      </c>
      <c r="P128" s="10">
        <f t="shared" si="24"/>
        <v>46397</v>
      </c>
      <c r="Q128" s="9">
        <f t="shared" ref="Q128:Q155" si="37">IF($J128="","",MAX(0,$M128-SUMIFS($N:$N,$J:$J,$J128,$K:$K,$K128)))</f>
        <v>0</v>
      </c>
      <c r="R128" s="11" t="str">
        <f t="shared" si="26"/>
        <v>OK</v>
      </c>
      <c r="S128" s="11" t="str">
        <f t="shared" si="35"/>
        <v>OK</v>
      </c>
    </row>
    <row r="129" spans="2:19" hidden="1" x14ac:dyDescent="0.3">
      <c r="B129" s="2" t="s">
        <v>103</v>
      </c>
      <c r="C129" s="2" t="s">
        <v>71</v>
      </c>
      <c r="D129" s="6" t="s">
        <v>99</v>
      </c>
      <c r="E129" s="6" t="s">
        <v>130</v>
      </c>
      <c r="F129" s="6" t="s">
        <v>19</v>
      </c>
      <c r="G129" s="4">
        <v>45372</v>
      </c>
      <c r="H129" s="3">
        <v>2024</v>
      </c>
      <c r="I129" s="3">
        <v>2025</v>
      </c>
      <c r="J129" s="4">
        <f t="shared" si="32"/>
        <v>45372</v>
      </c>
      <c r="K129" s="4">
        <f t="shared" si="33"/>
        <v>45737</v>
      </c>
      <c r="L129" s="4">
        <f t="shared" si="36"/>
        <v>46102</v>
      </c>
      <c r="M129" s="3">
        <v>7</v>
      </c>
      <c r="N129" s="3">
        <v>7</v>
      </c>
      <c r="O129" s="4">
        <v>46174</v>
      </c>
      <c r="P129" s="10">
        <f t="shared" si="24"/>
        <v>46180</v>
      </c>
      <c r="Q129" s="9">
        <f t="shared" si="37"/>
        <v>0</v>
      </c>
      <c r="R129" s="11" t="str">
        <f t="shared" si="26"/>
        <v>FORA DO PRAZO</v>
      </c>
      <c r="S129" s="11" t="str">
        <f t="shared" si="35"/>
        <v>FORA DO PRAZO</v>
      </c>
    </row>
    <row r="130" spans="2:19" hidden="1" x14ac:dyDescent="0.3">
      <c r="B130" s="2" t="s">
        <v>103</v>
      </c>
      <c r="C130" s="2" t="s">
        <v>71</v>
      </c>
      <c r="D130" s="6" t="s">
        <v>99</v>
      </c>
      <c r="E130" s="6" t="s">
        <v>130</v>
      </c>
      <c r="F130" s="6" t="s">
        <v>19</v>
      </c>
      <c r="G130" s="4">
        <v>45372</v>
      </c>
      <c r="H130" s="3">
        <v>2025</v>
      </c>
      <c r="I130" s="3">
        <v>2026</v>
      </c>
      <c r="J130" s="4">
        <f t="shared" si="32"/>
        <v>45737</v>
      </c>
      <c r="K130" s="4">
        <f t="shared" si="33"/>
        <v>46102</v>
      </c>
      <c r="L130" s="4">
        <f t="shared" si="36"/>
        <v>46467</v>
      </c>
      <c r="M130" s="3">
        <v>21</v>
      </c>
      <c r="N130" s="3">
        <v>21</v>
      </c>
      <c r="O130" s="4">
        <f>P129</f>
        <v>46180</v>
      </c>
      <c r="P130" s="10">
        <f t="shared" si="24"/>
        <v>46200</v>
      </c>
      <c r="Q130" s="9">
        <f t="shared" si="37"/>
        <v>0</v>
      </c>
      <c r="R130" s="11" t="str">
        <f t="shared" si="26"/>
        <v>OK</v>
      </c>
      <c r="S130" s="11" t="str">
        <f t="shared" si="35"/>
        <v>OK</v>
      </c>
    </row>
    <row r="131" spans="2:19" hidden="1" x14ac:dyDescent="0.3">
      <c r="B131" s="2" t="s">
        <v>103</v>
      </c>
      <c r="C131" s="2" t="s">
        <v>72</v>
      </c>
      <c r="D131" s="6" t="s">
        <v>125</v>
      </c>
      <c r="E131" s="6" t="s">
        <v>19</v>
      </c>
      <c r="F131" s="6" t="s">
        <v>19</v>
      </c>
      <c r="G131" s="4">
        <v>44858</v>
      </c>
      <c r="H131" s="3">
        <v>2024</v>
      </c>
      <c r="I131" s="3">
        <v>2025</v>
      </c>
      <c r="J131" s="4">
        <f t="shared" si="32"/>
        <v>45589</v>
      </c>
      <c r="K131" s="4">
        <f t="shared" si="33"/>
        <v>45954</v>
      </c>
      <c r="L131" s="4">
        <f t="shared" si="36"/>
        <v>46319</v>
      </c>
      <c r="M131" s="3">
        <v>5</v>
      </c>
      <c r="N131" s="3">
        <v>5</v>
      </c>
      <c r="O131" s="4">
        <v>46133</v>
      </c>
      <c r="P131" s="10">
        <f t="shared" si="24"/>
        <v>46137</v>
      </c>
      <c r="Q131" s="9">
        <f t="shared" si="37"/>
        <v>0</v>
      </c>
      <c r="R131" s="11" t="str">
        <f t="shared" si="26"/>
        <v>OK</v>
      </c>
      <c r="S131" s="11" t="str">
        <f t="shared" si="35"/>
        <v>OK</v>
      </c>
    </row>
    <row r="132" spans="2:19" hidden="1" x14ac:dyDescent="0.3">
      <c r="B132" s="2" t="s">
        <v>103</v>
      </c>
      <c r="C132" s="2" t="s">
        <v>72</v>
      </c>
      <c r="D132" s="6" t="s">
        <v>125</v>
      </c>
      <c r="E132" s="6" t="s">
        <v>19</v>
      </c>
      <c r="F132" s="6" t="s">
        <v>19</v>
      </c>
      <c r="G132" s="4">
        <v>44858</v>
      </c>
      <c r="H132" s="3">
        <v>2025</v>
      </c>
      <c r="I132" s="3">
        <v>2026</v>
      </c>
      <c r="J132" s="4">
        <f t="shared" si="32"/>
        <v>45954</v>
      </c>
      <c r="K132" s="4">
        <f t="shared" si="33"/>
        <v>46319</v>
      </c>
      <c r="L132" s="4">
        <f t="shared" si="36"/>
        <v>46684</v>
      </c>
      <c r="M132" s="3">
        <v>0</v>
      </c>
      <c r="N132" s="3">
        <v>0</v>
      </c>
      <c r="O132" s="4"/>
      <c r="P132" s="10" t="str">
        <f t="shared" ref="P132:P155" si="38">IF(OR(O132="",N132=""),"",O132+N132-1)</f>
        <v/>
      </c>
      <c r="Q132" s="9">
        <f t="shared" si="37"/>
        <v>0</v>
      </c>
      <c r="R132" s="11" t="str">
        <f t="shared" si="26"/>
        <v>OK</v>
      </c>
      <c r="S132" s="11" t="str">
        <f t="shared" si="35"/>
        <v>OK</v>
      </c>
    </row>
    <row r="133" spans="2:19" hidden="1" x14ac:dyDescent="0.3">
      <c r="B133" s="2" t="s">
        <v>103</v>
      </c>
      <c r="C133" s="2" t="s">
        <v>91</v>
      </c>
      <c r="D133" s="6" t="s">
        <v>98</v>
      </c>
      <c r="E133" s="6" t="s">
        <v>70</v>
      </c>
      <c r="F133" s="6" t="s">
        <v>13</v>
      </c>
      <c r="G133" s="4">
        <v>45944</v>
      </c>
      <c r="H133" s="3" t="s">
        <v>142</v>
      </c>
      <c r="I133" s="3">
        <v>2026</v>
      </c>
      <c r="J133" s="4">
        <f t="shared" si="32"/>
        <v>45944</v>
      </c>
      <c r="K133" s="4">
        <f t="shared" si="33"/>
        <v>46309</v>
      </c>
      <c r="L133" s="4">
        <f t="shared" si="36"/>
        <v>46674</v>
      </c>
      <c r="M133" s="3">
        <v>21</v>
      </c>
      <c r="N133" s="3">
        <v>14</v>
      </c>
      <c r="O133" s="4">
        <v>46307</v>
      </c>
      <c r="P133" s="10">
        <f t="shared" si="38"/>
        <v>46320</v>
      </c>
      <c r="Q133" s="9">
        <f t="shared" si="37"/>
        <v>0</v>
      </c>
      <c r="R133" s="11" t="str">
        <f t="shared" ref="R133:R155" si="39">IF(OR($M133="",$N133=""),"",IF($N133&gt;$M133,"EXCEDE SALDO",IF(OR($O133="",$P133=""),"OK",IF($P133&lt;$O133,"DATAS INVÁLIDAS",IF($P133&gt;$L133,"FORA DO PRAZO","OK")))))</f>
        <v>OK</v>
      </c>
      <c r="S133" s="11" t="str">
        <f t="shared" si="35"/>
        <v>OK</v>
      </c>
    </row>
    <row r="134" spans="2:19" hidden="1" x14ac:dyDescent="0.3">
      <c r="B134" s="2" t="s">
        <v>103</v>
      </c>
      <c r="C134" s="2" t="s">
        <v>91</v>
      </c>
      <c r="D134" s="6" t="s">
        <v>98</v>
      </c>
      <c r="E134" s="6" t="s">
        <v>70</v>
      </c>
      <c r="F134" s="6" t="s">
        <v>13</v>
      </c>
      <c r="G134" s="4">
        <v>45944</v>
      </c>
      <c r="H134" s="3" t="s">
        <v>142</v>
      </c>
      <c r="I134" s="3">
        <v>2026</v>
      </c>
      <c r="J134" s="4">
        <f t="shared" ref="J134:J155" si="40">DATE($H134,MONTH($G134),DAY($G134))</f>
        <v>45944</v>
      </c>
      <c r="K134" s="4">
        <f t="shared" ref="K134:K155" si="41">DATE($H134+1,MONTH($G134),DAY($G134))</f>
        <v>46309</v>
      </c>
      <c r="L134" s="4">
        <f t="shared" si="36"/>
        <v>46674</v>
      </c>
      <c r="M134" s="3">
        <v>14</v>
      </c>
      <c r="N134" s="3">
        <v>7</v>
      </c>
      <c r="O134" s="4">
        <v>46356</v>
      </c>
      <c r="P134" s="10">
        <f t="shared" si="38"/>
        <v>46362</v>
      </c>
      <c r="Q134" s="9">
        <f t="shared" si="37"/>
        <v>0</v>
      </c>
      <c r="R134" s="11" t="str">
        <f t="shared" si="39"/>
        <v>OK</v>
      </c>
      <c r="S134" s="11" t="str">
        <f t="shared" si="35"/>
        <v>OK</v>
      </c>
    </row>
    <row r="135" spans="2:19" hidden="1" x14ac:dyDescent="0.3">
      <c r="B135" s="2" t="s">
        <v>103</v>
      </c>
      <c r="C135" s="2" t="s">
        <v>73</v>
      </c>
      <c r="D135" s="6" t="s">
        <v>99</v>
      </c>
      <c r="E135" s="6" t="s">
        <v>136</v>
      </c>
      <c r="F135" s="6" t="s">
        <v>43</v>
      </c>
      <c r="G135" s="4">
        <v>44876</v>
      </c>
      <c r="H135" s="3">
        <v>2024</v>
      </c>
      <c r="I135" s="3">
        <v>2025</v>
      </c>
      <c r="J135" s="4">
        <f t="shared" si="40"/>
        <v>45607</v>
      </c>
      <c r="K135" s="4">
        <f t="shared" si="41"/>
        <v>45972</v>
      </c>
      <c r="L135" s="4">
        <v>46387</v>
      </c>
      <c r="M135" s="3">
        <v>21</v>
      </c>
      <c r="N135" s="3">
        <v>21</v>
      </c>
      <c r="O135" s="4">
        <v>45628</v>
      </c>
      <c r="P135" s="10">
        <f t="shared" si="38"/>
        <v>45648</v>
      </c>
      <c r="Q135" s="9">
        <f t="shared" si="37"/>
        <v>0</v>
      </c>
      <c r="R135" s="11" t="str">
        <f t="shared" si="39"/>
        <v>OK</v>
      </c>
      <c r="S135" s="11" t="str">
        <f t="shared" si="35"/>
        <v>OK</v>
      </c>
    </row>
    <row r="136" spans="2:19" hidden="1" x14ac:dyDescent="0.3">
      <c r="B136" s="2" t="s">
        <v>103</v>
      </c>
      <c r="C136" s="2" t="s">
        <v>73</v>
      </c>
      <c r="D136" s="6" t="s">
        <v>99</v>
      </c>
      <c r="E136" s="6" t="s">
        <v>136</v>
      </c>
      <c r="F136" s="6" t="s">
        <v>43</v>
      </c>
      <c r="G136" s="4">
        <v>44876</v>
      </c>
      <c r="H136" s="3">
        <v>2025</v>
      </c>
      <c r="I136" s="3">
        <v>2026</v>
      </c>
      <c r="J136" s="4">
        <f t="shared" si="40"/>
        <v>45972</v>
      </c>
      <c r="K136" s="4">
        <f t="shared" si="41"/>
        <v>46337</v>
      </c>
      <c r="L136" s="4">
        <v>46387</v>
      </c>
      <c r="M136" s="3">
        <v>21</v>
      </c>
      <c r="N136" s="3">
        <v>21</v>
      </c>
      <c r="O136" s="4">
        <v>45817</v>
      </c>
      <c r="P136" s="10">
        <f t="shared" si="38"/>
        <v>45837</v>
      </c>
      <c r="Q136" s="9">
        <f t="shared" si="37"/>
        <v>0</v>
      </c>
      <c r="R136" s="11" t="str">
        <f t="shared" si="39"/>
        <v>OK</v>
      </c>
      <c r="S136" s="11" t="str">
        <f t="shared" si="35"/>
        <v>OK</v>
      </c>
    </row>
    <row r="137" spans="2:19" hidden="1" x14ac:dyDescent="0.3">
      <c r="B137" s="2" t="s">
        <v>103</v>
      </c>
      <c r="C137" s="2" t="s">
        <v>74</v>
      </c>
      <c r="D137" s="6" t="s">
        <v>111</v>
      </c>
      <c r="E137" s="2" t="s">
        <v>34</v>
      </c>
      <c r="F137" s="2" t="s">
        <v>34</v>
      </c>
      <c r="G137" s="4">
        <v>44908</v>
      </c>
      <c r="H137" s="3">
        <v>2024</v>
      </c>
      <c r="I137" s="3">
        <v>2025</v>
      </c>
      <c r="J137" s="4">
        <f t="shared" si="40"/>
        <v>45639</v>
      </c>
      <c r="K137" s="4">
        <f t="shared" si="41"/>
        <v>46004</v>
      </c>
      <c r="L137" s="4">
        <f t="shared" ref="L137:L140" si="42">DATE(YEAR($K137)+1,MONTH($K137),DAY($K137))</f>
        <v>46369</v>
      </c>
      <c r="M137" s="3">
        <v>21</v>
      </c>
      <c r="N137" s="3">
        <v>14</v>
      </c>
      <c r="O137" s="4">
        <v>46195</v>
      </c>
      <c r="P137" s="10">
        <f t="shared" si="38"/>
        <v>46208</v>
      </c>
      <c r="Q137" s="9">
        <f t="shared" si="37"/>
        <v>0</v>
      </c>
      <c r="R137" s="11" t="str">
        <f t="shared" si="39"/>
        <v>OK</v>
      </c>
      <c r="S137" s="11" t="str">
        <f t="shared" si="35"/>
        <v>OK</v>
      </c>
    </row>
    <row r="138" spans="2:19" hidden="1" x14ac:dyDescent="0.3">
      <c r="B138" s="2" t="s">
        <v>103</v>
      </c>
      <c r="C138" s="2" t="s">
        <v>74</v>
      </c>
      <c r="D138" s="6" t="s">
        <v>111</v>
      </c>
      <c r="E138" s="2" t="s">
        <v>34</v>
      </c>
      <c r="F138" s="2" t="s">
        <v>34</v>
      </c>
      <c r="G138" s="4">
        <v>44908</v>
      </c>
      <c r="H138" s="3">
        <v>2025</v>
      </c>
      <c r="I138" s="3">
        <v>2026</v>
      </c>
      <c r="J138" s="4">
        <f t="shared" si="40"/>
        <v>46004</v>
      </c>
      <c r="K138" s="4">
        <f t="shared" si="41"/>
        <v>46369</v>
      </c>
      <c r="L138" s="4">
        <f t="shared" si="42"/>
        <v>46734</v>
      </c>
      <c r="M138" s="3">
        <v>7</v>
      </c>
      <c r="N138" s="3">
        <v>7</v>
      </c>
      <c r="O138" s="4">
        <v>46308</v>
      </c>
      <c r="P138" s="10">
        <f t="shared" si="38"/>
        <v>46314</v>
      </c>
      <c r="Q138" s="9">
        <f t="shared" si="37"/>
        <v>0</v>
      </c>
      <c r="R138" s="11" t="str">
        <f t="shared" si="39"/>
        <v>OK</v>
      </c>
      <c r="S138" s="11" t="str">
        <f t="shared" si="35"/>
        <v>OK</v>
      </c>
    </row>
    <row r="139" spans="2:19" hidden="1" x14ac:dyDescent="0.3">
      <c r="B139" s="2" t="s">
        <v>103</v>
      </c>
      <c r="C139" s="2" t="s">
        <v>93</v>
      </c>
      <c r="D139" s="6" t="s">
        <v>99</v>
      </c>
      <c r="E139" s="6" t="s">
        <v>21</v>
      </c>
      <c r="F139" s="6" t="s">
        <v>43</v>
      </c>
      <c r="G139" s="4">
        <v>46006</v>
      </c>
      <c r="H139" s="3" t="s">
        <v>142</v>
      </c>
      <c r="I139" s="3">
        <v>2026</v>
      </c>
      <c r="J139" s="4">
        <f t="shared" si="40"/>
        <v>46006</v>
      </c>
      <c r="K139" s="4">
        <f t="shared" si="41"/>
        <v>46371</v>
      </c>
      <c r="L139" s="4">
        <f t="shared" si="42"/>
        <v>46736</v>
      </c>
      <c r="M139" s="3">
        <v>21</v>
      </c>
      <c r="N139" s="3">
        <v>0</v>
      </c>
      <c r="O139" s="4"/>
      <c r="P139" s="10" t="str">
        <f t="shared" si="38"/>
        <v/>
      </c>
      <c r="Q139" s="9">
        <f t="shared" si="37"/>
        <v>21</v>
      </c>
      <c r="R139" s="11" t="str">
        <f t="shared" si="39"/>
        <v>OK</v>
      </c>
      <c r="S139" s="11" t="str">
        <f t="shared" si="35"/>
        <v>OK</v>
      </c>
    </row>
    <row r="140" spans="2:19" hidden="1" x14ac:dyDescent="0.3">
      <c r="B140" s="2" t="s">
        <v>103</v>
      </c>
      <c r="C140" s="2" t="s">
        <v>104</v>
      </c>
      <c r="D140" s="6" t="s">
        <v>99</v>
      </c>
      <c r="E140" s="2" t="s">
        <v>34</v>
      </c>
      <c r="F140" s="2" t="s">
        <v>34</v>
      </c>
      <c r="G140" s="4">
        <v>45985</v>
      </c>
      <c r="H140" s="3" t="s">
        <v>142</v>
      </c>
      <c r="I140" s="3">
        <v>2026</v>
      </c>
      <c r="J140" s="4">
        <f t="shared" si="40"/>
        <v>45985</v>
      </c>
      <c r="K140" s="4">
        <f t="shared" si="41"/>
        <v>46350</v>
      </c>
      <c r="L140" s="4">
        <f t="shared" si="42"/>
        <v>46715</v>
      </c>
      <c r="M140" s="3">
        <v>21</v>
      </c>
      <c r="N140" s="3">
        <v>21</v>
      </c>
      <c r="O140" s="4">
        <v>46389</v>
      </c>
      <c r="P140" s="10">
        <f t="shared" si="38"/>
        <v>46409</v>
      </c>
      <c r="Q140" s="9">
        <f t="shared" si="37"/>
        <v>0</v>
      </c>
      <c r="R140" s="11" t="str">
        <f t="shared" si="39"/>
        <v>OK</v>
      </c>
      <c r="S140" s="11" t="str">
        <f t="shared" si="35"/>
        <v>OK</v>
      </c>
    </row>
    <row r="141" spans="2:19" hidden="1" x14ac:dyDescent="0.3">
      <c r="B141" s="2" t="s">
        <v>103</v>
      </c>
      <c r="C141" s="2" t="s">
        <v>76</v>
      </c>
      <c r="D141" s="6" t="s">
        <v>98</v>
      </c>
      <c r="E141" s="6" t="s">
        <v>70</v>
      </c>
      <c r="F141" s="6" t="s">
        <v>13</v>
      </c>
      <c r="G141" s="4">
        <v>45418</v>
      </c>
      <c r="H141" s="3" t="s">
        <v>143</v>
      </c>
      <c r="I141" s="3">
        <v>2025</v>
      </c>
      <c r="J141" s="4">
        <f t="shared" si="40"/>
        <v>45418</v>
      </c>
      <c r="K141" s="4">
        <f t="shared" si="41"/>
        <v>45783</v>
      </c>
      <c r="L141" s="4">
        <f t="shared" ref="L141:L147" si="43">DATE(YEAR($K141)+1,MONTH($K141),DAY($K141))</f>
        <v>46148</v>
      </c>
      <c r="M141" s="3">
        <v>21</v>
      </c>
      <c r="N141" s="3">
        <v>7</v>
      </c>
      <c r="O141" s="4">
        <v>46252</v>
      </c>
      <c r="P141" s="10">
        <f t="shared" si="38"/>
        <v>46258</v>
      </c>
      <c r="Q141" s="9">
        <f t="shared" si="37"/>
        <v>0</v>
      </c>
      <c r="R141" s="11" t="str">
        <f t="shared" si="39"/>
        <v>FORA DO PRAZO</v>
      </c>
      <c r="S141" s="11" t="str">
        <f t="shared" si="35"/>
        <v>FORA DO PRAZO</v>
      </c>
    </row>
    <row r="142" spans="2:19" hidden="1" x14ac:dyDescent="0.3">
      <c r="B142" s="2" t="s">
        <v>103</v>
      </c>
      <c r="C142" s="2" t="s">
        <v>76</v>
      </c>
      <c r="D142" s="6" t="s">
        <v>98</v>
      </c>
      <c r="E142" s="6" t="s">
        <v>70</v>
      </c>
      <c r="F142" s="6" t="s">
        <v>13</v>
      </c>
      <c r="G142" s="4">
        <v>45418</v>
      </c>
      <c r="H142" s="3" t="s">
        <v>143</v>
      </c>
      <c r="I142" s="3">
        <v>2025</v>
      </c>
      <c r="J142" s="4">
        <f t="shared" si="40"/>
        <v>45418</v>
      </c>
      <c r="K142" s="4">
        <f t="shared" si="41"/>
        <v>45783</v>
      </c>
      <c r="L142" s="4">
        <f t="shared" si="43"/>
        <v>46148</v>
      </c>
      <c r="M142" s="3">
        <v>14</v>
      </c>
      <c r="N142" s="3">
        <v>7</v>
      </c>
      <c r="O142" s="4">
        <v>46027</v>
      </c>
      <c r="P142" s="10">
        <f t="shared" si="38"/>
        <v>46033</v>
      </c>
      <c r="Q142" s="9">
        <f t="shared" si="37"/>
        <v>0</v>
      </c>
      <c r="R142" s="11" t="str">
        <f t="shared" si="39"/>
        <v>OK</v>
      </c>
      <c r="S142" s="11" t="str">
        <f t="shared" si="35"/>
        <v>OK</v>
      </c>
    </row>
    <row r="143" spans="2:19" hidden="1" x14ac:dyDescent="0.3">
      <c r="B143" s="2" t="s">
        <v>103</v>
      </c>
      <c r="C143" s="2" t="s">
        <v>76</v>
      </c>
      <c r="D143" s="6" t="s">
        <v>98</v>
      </c>
      <c r="E143" s="6" t="s">
        <v>70</v>
      </c>
      <c r="F143" s="6" t="s">
        <v>13</v>
      </c>
      <c r="G143" s="4">
        <v>45418</v>
      </c>
      <c r="H143" s="3" t="s">
        <v>143</v>
      </c>
      <c r="I143" s="3">
        <v>2025</v>
      </c>
      <c r="J143" s="4">
        <f t="shared" si="40"/>
        <v>45418</v>
      </c>
      <c r="K143" s="4">
        <f t="shared" si="41"/>
        <v>45783</v>
      </c>
      <c r="L143" s="4">
        <f t="shared" si="43"/>
        <v>46148</v>
      </c>
      <c r="M143" s="3">
        <v>7</v>
      </c>
      <c r="N143" s="3">
        <v>7</v>
      </c>
      <c r="O143" s="4">
        <v>46062</v>
      </c>
      <c r="P143" s="10">
        <f t="shared" si="38"/>
        <v>46068</v>
      </c>
      <c r="Q143" s="9">
        <f t="shared" si="37"/>
        <v>0</v>
      </c>
      <c r="R143" s="11" t="str">
        <f t="shared" si="39"/>
        <v>OK</v>
      </c>
      <c r="S143" s="11" t="str">
        <f t="shared" si="35"/>
        <v>OK</v>
      </c>
    </row>
    <row r="144" spans="2:19" hidden="1" x14ac:dyDescent="0.3">
      <c r="B144" s="2" t="s">
        <v>103</v>
      </c>
      <c r="C144" s="2" t="s">
        <v>76</v>
      </c>
      <c r="D144" s="6" t="s">
        <v>98</v>
      </c>
      <c r="E144" s="6" t="s">
        <v>70</v>
      </c>
      <c r="F144" s="6" t="s">
        <v>13</v>
      </c>
      <c r="G144" s="4">
        <v>45418</v>
      </c>
      <c r="H144" s="3">
        <v>2025</v>
      </c>
      <c r="I144" s="3">
        <v>2026</v>
      </c>
      <c r="J144" s="4">
        <f t="shared" si="40"/>
        <v>45783</v>
      </c>
      <c r="K144" s="4">
        <f t="shared" si="41"/>
        <v>46148</v>
      </c>
      <c r="L144" s="4">
        <f t="shared" si="43"/>
        <v>46513</v>
      </c>
      <c r="M144" s="3">
        <v>21</v>
      </c>
      <c r="N144" s="3">
        <v>7</v>
      </c>
      <c r="O144" s="4">
        <v>46069</v>
      </c>
      <c r="P144" s="10">
        <f t="shared" si="38"/>
        <v>46075</v>
      </c>
      <c r="Q144" s="9">
        <f t="shared" si="37"/>
        <v>0</v>
      </c>
      <c r="R144" s="11" t="str">
        <f t="shared" si="39"/>
        <v>OK</v>
      </c>
      <c r="S144" s="11" t="str">
        <f t="shared" si="35"/>
        <v>OK</v>
      </c>
    </row>
    <row r="145" spans="2:19" hidden="1" x14ac:dyDescent="0.3">
      <c r="B145" s="2" t="s">
        <v>103</v>
      </c>
      <c r="C145" s="2" t="s">
        <v>76</v>
      </c>
      <c r="D145" s="6" t="s">
        <v>98</v>
      </c>
      <c r="E145" s="6" t="s">
        <v>70</v>
      </c>
      <c r="F145" s="6" t="s">
        <v>13</v>
      </c>
      <c r="G145" s="4">
        <v>45418</v>
      </c>
      <c r="H145" s="3">
        <v>2025</v>
      </c>
      <c r="I145" s="3">
        <v>2026</v>
      </c>
      <c r="J145" s="4">
        <f t="shared" si="40"/>
        <v>45783</v>
      </c>
      <c r="K145" s="4">
        <f t="shared" si="41"/>
        <v>46148</v>
      </c>
      <c r="L145" s="4">
        <f t="shared" si="43"/>
        <v>46513</v>
      </c>
      <c r="M145" s="3">
        <v>14</v>
      </c>
      <c r="N145" s="3">
        <v>14</v>
      </c>
      <c r="O145" s="4">
        <v>46279</v>
      </c>
      <c r="P145" s="10">
        <f t="shared" si="38"/>
        <v>46292</v>
      </c>
      <c r="Q145" s="9">
        <f t="shared" si="37"/>
        <v>0</v>
      </c>
      <c r="R145" s="11" t="str">
        <f t="shared" si="39"/>
        <v>OK</v>
      </c>
      <c r="S145" s="11" t="str">
        <f t="shared" si="35"/>
        <v>OK</v>
      </c>
    </row>
    <row r="146" spans="2:19" hidden="1" x14ac:dyDescent="0.3">
      <c r="B146" s="2" t="s">
        <v>103</v>
      </c>
      <c r="C146" s="2" t="s">
        <v>77</v>
      </c>
      <c r="D146" s="6" t="s">
        <v>126</v>
      </c>
      <c r="E146" s="2" t="s">
        <v>7</v>
      </c>
      <c r="F146" s="6" t="s">
        <v>133</v>
      </c>
      <c r="G146" s="4">
        <v>44917</v>
      </c>
      <c r="H146" s="3">
        <v>2024</v>
      </c>
      <c r="I146" s="3">
        <v>2025</v>
      </c>
      <c r="J146" s="4">
        <f t="shared" si="40"/>
        <v>45648</v>
      </c>
      <c r="K146" s="4">
        <f t="shared" si="41"/>
        <v>46013</v>
      </c>
      <c r="L146" s="4">
        <f t="shared" si="43"/>
        <v>46378</v>
      </c>
      <c r="M146" s="3">
        <v>21</v>
      </c>
      <c r="N146" s="3">
        <v>7</v>
      </c>
      <c r="O146" s="4">
        <v>46139</v>
      </c>
      <c r="P146" s="10">
        <f t="shared" si="38"/>
        <v>46145</v>
      </c>
      <c r="Q146" s="9">
        <f t="shared" si="37"/>
        <v>0</v>
      </c>
      <c r="R146" s="11" t="str">
        <f t="shared" si="39"/>
        <v>OK</v>
      </c>
      <c r="S146" s="11" t="str">
        <f t="shared" si="35"/>
        <v>OK</v>
      </c>
    </row>
    <row r="147" spans="2:19" hidden="1" x14ac:dyDescent="0.3">
      <c r="B147" s="2" t="s">
        <v>103</v>
      </c>
      <c r="C147" s="2" t="s">
        <v>77</v>
      </c>
      <c r="D147" s="6" t="s">
        <v>126</v>
      </c>
      <c r="E147" s="2" t="s">
        <v>7</v>
      </c>
      <c r="F147" s="6" t="s">
        <v>133</v>
      </c>
      <c r="G147" s="4">
        <v>44917</v>
      </c>
      <c r="H147" s="3">
        <v>2024</v>
      </c>
      <c r="I147" s="3">
        <v>2025</v>
      </c>
      <c r="J147" s="4">
        <f t="shared" si="40"/>
        <v>45648</v>
      </c>
      <c r="K147" s="4">
        <f t="shared" si="41"/>
        <v>46013</v>
      </c>
      <c r="L147" s="4">
        <f t="shared" si="43"/>
        <v>46378</v>
      </c>
      <c r="M147" s="3">
        <v>14</v>
      </c>
      <c r="N147" s="3">
        <v>14</v>
      </c>
      <c r="O147" s="4">
        <v>46293</v>
      </c>
      <c r="P147" s="10">
        <f t="shared" si="38"/>
        <v>46306</v>
      </c>
      <c r="Q147" s="9">
        <f t="shared" si="37"/>
        <v>0</v>
      </c>
      <c r="R147" s="11" t="str">
        <f t="shared" si="39"/>
        <v>OK</v>
      </c>
      <c r="S147" s="11" t="str">
        <f t="shared" si="35"/>
        <v>OK</v>
      </c>
    </row>
    <row r="148" spans="2:19" hidden="1" x14ac:dyDescent="0.3">
      <c r="B148" s="2" t="s">
        <v>103</v>
      </c>
      <c r="C148" s="2" t="s">
        <v>78</v>
      </c>
      <c r="D148" s="6" t="s">
        <v>107</v>
      </c>
      <c r="E148" s="6" t="s">
        <v>138</v>
      </c>
      <c r="F148" s="6" t="s">
        <v>59</v>
      </c>
      <c r="G148" s="4">
        <v>45691</v>
      </c>
      <c r="H148" s="3" t="s">
        <v>142</v>
      </c>
      <c r="I148" s="3">
        <v>2026</v>
      </c>
      <c r="J148" s="4">
        <f t="shared" si="40"/>
        <v>45691</v>
      </c>
      <c r="K148" s="4">
        <f t="shared" si="41"/>
        <v>46056</v>
      </c>
      <c r="L148" s="4">
        <v>46387</v>
      </c>
      <c r="M148" s="3">
        <v>21</v>
      </c>
      <c r="N148" s="3">
        <v>21</v>
      </c>
      <c r="O148" s="4">
        <v>46341</v>
      </c>
      <c r="P148" s="10">
        <f t="shared" si="38"/>
        <v>46361</v>
      </c>
      <c r="Q148" s="9">
        <f t="shared" si="37"/>
        <v>0</v>
      </c>
      <c r="R148" s="11" t="str">
        <f t="shared" si="39"/>
        <v>OK</v>
      </c>
      <c r="S148" s="11" t="str">
        <f t="shared" si="35"/>
        <v>OK</v>
      </c>
    </row>
    <row r="149" spans="2:19" hidden="1" x14ac:dyDescent="0.3">
      <c r="B149" s="2" t="s">
        <v>103</v>
      </c>
      <c r="C149" s="2" t="s">
        <v>79</v>
      </c>
      <c r="D149" s="6" t="s">
        <v>114</v>
      </c>
      <c r="E149" s="6" t="s">
        <v>70</v>
      </c>
      <c r="F149" s="6" t="s">
        <v>13</v>
      </c>
      <c r="G149" s="4">
        <v>44953</v>
      </c>
      <c r="H149" s="3">
        <v>2024</v>
      </c>
      <c r="I149" s="3">
        <v>2025</v>
      </c>
      <c r="J149" s="4">
        <f t="shared" si="40"/>
        <v>45318</v>
      </c>
      <c r="K149" s="4">
        <f t="shared" si="41"/>
        <v>45684</v>
      </c>
      <c r="L149" s="4">
        <f t="shared" ref="L149:L155" si="44">DATE(YEAR($K149)+1,MONTH($K149),DAY($K149))</f>
        <v>46049</v>
      </c>
      <c r="M149" s="3">
        <v>21</v>
      </c>
      <c r="N149" s="3">
        <v>7</v>
      </c>
      <c r="O149" s="4">
        <v>46189</v>
      </c>
      <c r="P149" s="10">
        <f t="shared" si="38"/>
        <v>46195</v>
      </c>
      <c r="Q149" s="9">
        <f t="shared" si="37"/>
        <v>0</v>
      </c>
      <c r="R149" s="11" t="str">
        <f t="shared" si="39"/>
        <v>FORA DO PRAZO</v>
      </c>
      <c r="S149" s="11" t="str">
        <f t="shared" si="35"/>
        <v>FORA DO PRAZO</v>
      </c>
    </row>
    <row r="150" spans="2:19" hidden="1" x14ac:dyDescent="0.3">
      <c r="B150" s="2" t="s">
        <v>103</v>
      </c>
      <c r="C150" s="2" t="s">
        <v>79</v>
      </c>
      <c r="D150" s="6" t="s">
        <v>114</v>
      </c>
      <c r="E150" s="6" t="s">
        <v>70</v>
      </c>
      <c r="F150" s="6" t="s">
        <v>13</v>
      </c>
      <c r="G150" s="4">
        <v>44953</v>
      </c>
      <c r="H150" s="3">
        <v>2024</v>
      </c>
      <c r="I150" s="3">
        <v>2025</v>
      </c>
      <c r="J150" s="4">
        <f t="shared" si="40"/>
        <v>45318</v>
      </c>
      <c r="K150" s="4">
        <f t="shared" si="41"/>
        <v>45684</v>
      </c>
      <c r="L150" s="4">
        <f t="shared" si="44"/>
        <v>46049</v>
      </c>
      <c r="M150" s="3">
        <v>14</v>
      </c>
      <c r="N150" s="3">
        <v>7</v>
      </c>
      <c r="O150" s="4">
        <v>46027</v>
      </c>
      <c r="P150" s="10">
        <f t="shared" si="38"/>
        <v>46033</v>
      </c>
      <c r="Q150" s="9">
        <f t="shared" si="37"/>
        <v>0</v>
      </c>
      <c r="R150" s="11" t="str">
        <f t="shared" si="39"/>
        <v>OK</v>
      </c>
      <c r="S150" s="11" t="str">
        <f t="shared" si="35"/>
        <v>OK</v>
      </c>
    </row>
    <row r="151" spans="2:19" hidden="1" x14ac:dyDescent="0.3">
      <c r="B151" s="2" t="s">
        <v>103</v>
      </c>
      <c r="C151" s="2" t="s">
        <v>79</v>
      </c>
      <c r="D151" s="6" t="s">
        <v>114</v>
      </c>
      <c r="E151" s="6" t="s">
        <v>70</v>
      </c>
      <c r="F151" s="6" t="s">
        <v>13</v>
      </c>
      <c r="G151" s="4">
        <v>44953</v>
      </c>
      <c r="H151" s="3">
        <v>2024</v>
      </c>
      <c r="I151" s="3">
        <v>2025</v>
      </c>
      <c r="J151" s="4">
        <f t="shared" si="40"/>
        <v>45318</v>
      </c>
      <c r="K151" s="4">
        <f t="shared" si="41"/>
        <v>45684</v>
      </c>
      <c r="L151" s="4">
        <f t="shared" si="44"/>
        <v>46049</v>
      </c>
      <c r="M151" s="3">
        <v>7</v>
      </c>
      <c r="N151" s="3">
        <v>7</v>
      </c>
      <c r="O151" s="4">
        <v>46062</v>
      </c>
      <c r="P151" s="10">
        <f t="shared" si="38"/>
        <v>46068</v>
      </c>
      <c r="Q151" s="9">
        <f t="shared" si="37"/>
        <v>0</v>
      </c>
      <c r="R151" s="11" t="str">
        <f t="shared" si="39"/>
        <v>FORA DO PRAZO</v>
      </c>
      <c r="S151" s="11" t="str">
        <f t="shared" si="35"/>
        <v>FORA DO PRAZO</v>
      </c>
    </row>
    <row r="152" spans="2:19" hidden="1" x14ac:dyDescent="0.3">
      <c r="B152" s="2" t="s">
        <v>103</v>
      </c>
      <c r="C152" s="2" t="s">
        <v>79</v>
      </c>
      <c r="D152" s="6" t="s">
        <v>114</v>
      </c>
      <c r="E152" s="6" t="s">
        <v>70</v>
      </c>
      <c r="F152" s="6" t="s">
        <v>13</v>
      </c>
      <c r="G152" s="4">
        <v>44953</v>
      </c>
      <c r="H152" s="3">
        <v>2025</v>
      </c>
      <c r="I152" s="3">
        <v>2026</v>
      </c>
      <c r="J152" s="4">
        <f t="shared" si="40"/>
        <v>45684</v>
      </c>
      <c r="K152" s="4">
        <f t="shared" si="41"/>
        <v>46049</v>
      </c>
      <c r="L152" s="4">
        <f t="shared" si="44"/>
        <v>46414</v>
      </c>
      <c r="M152" s="3">
        <v>21</v>
      </c>
      <c r="N152" s="3">
        <v>14</v>
      </c>
      <c r="O152" s="4">
        <v>46069</v>
      </c>
      <c r="P152" s="10">
        <f t="shared" si="38"/>
        <v>46082</v>
      </c>
      <c r="Q152" s="9">
        <f t="shared" si="37"/>
        <v>0</v>
      </c>
      <c r="R152" s="11" t="str">
        <f t="shared" si="39"/>
        <v>OK</v>
      </c>
      <c r="S152" s="11" t="str">
        <f t="shared" si="35"/>
        <v>OK</v>
      </c>
    </row>
    <row r="153" spans="2:19" hidden="1" x14ac:dyDescent="0.3">
      <c r="B153" s="2" t="s">
        <v>103</v>
      </c>
      <c r="C153" s="2" t="s">
        <v>79</v>
      </c>
      <c r="D153" s="6" t="s">
        <v>114</v>
      </c>
      <c r="E153" s="6" t="s">
        <v>70</v>
      </c>
      <c r="F153" s="6" t="s">
        <v>13</v>
      </c>
      <c r="G153" s="4">
        <v>44953</v>
      </c>
      <c r="H153" s="3">
        <v>2025</v>
      </c>
      <c r="I153" s="3">
        <v>2026</v>
      </c>
      <c r="J153" s="4">
        <f t="shared" si="40"/>
        <v>45684</v>
      </c>
      <c r="K153" s="4">
        <f t="shared" si="41"/>
        <v>46049</v>
      </c>
      <c r="L153" s="4">
        <f t="shared" si="44"/>
        <v>46414</v>
      </c>
      <c r="M153" s="3">
        <v>7</v>
      </c>
      <c r="N153" s="3">
        <v>7</v>
      </c>
      <c r="O153" s="4">
        <v>46179</v>
      </c>
      <c r="P153" s="10">
        <f t="shared" si="38"/>
        <v>46185</v>
      </c>
      <c r="Q153" s="9">
        <f t="shared" si="37"/>
        <v>0</v>
      </c>
      <c r="R153" s="11" t="str">
        <f t="shared" si="39"/>
        <v>OK</v>
      </c>
      <c r="S153" s="11" t="str">
        <f t="shared" si="35"/>
        <v>OK</v>
      </c>
    </row>
    <row r="154" spans="2:19" hidden="1" x14ac:dyDescent="0.3">
      <c r="B154" s="2" t="s">
        <v>103</v>
      </c>
      <c r="C154" s="2" t="s">
        <v>80</v>
      </c>
      <c r="D154" s="6" t="s">
        <v>107</v>
      </c>
      <c r="E154" s="2" t="s">
        <v>22</v>
      </c>
      <c r="F154" s="6" t="s">
        <v>131</v>
      </c>
      <c r="G154" s="4">
        <v>45001</v>
      </c>
      <c r="H154" s="3">
        <v>2024</v>
      </c>
      <c r="I154" s="3">
        <v>2025</v>
      </c>
      <c r="J154" s="4">
        <f t="shared" si="40"/>
        <v>45367</v>
      </c>
      <c r="K154" s="4">
        <f t="shared" si="41"/>
        <v>45732</v>
      </c>
      <c r="L154" s="4">
        <f t="shared" si="44"/>
        <v>46097</v>
      </c>
      <c r="M154" s="3">
        <v>21</v>
      </c>
      <c r="N154" s="3">
        <v>21</v>
      </c>
      <c r="O154" s="4">
        <v>46244</v>
      </c>
      <c r="P154" s="10">
        <f t="shared" si="38"/>
        <v>46264</v>
      </c>
      <c r="Q154" s="9">
        <f t="shared" si="37"/>
        <v>0</v>
      </c>
      <c r="R154" s="11" t="str">
        <f t="shared" si="39"/>
        <v>FORA DO PRAZO</v>
      </c>
      <c r="S154" s="11" t="str">
        <f t="shared" si="35"/>
        <v>FORA DO PRAZO</v>
      </c>
    </row>
    <row r="155" spans="2:19" hidden="1" x14ac:dyDescent="0.3">
      <c r="B155" s="2" t="s">
        <v>103</v>
      </c>
      <c r="C155" s="2" t="s">
        <v>57</v>
      </c>
      <c r="D155" s="6" t="s">
        <v>112</v>
      </c>
      <c r="E155" s="6" t="s">
        <v>32</v>
      </c>
      <c r="F155" s="6" t="s">
        <v>13</v>
      </c>
      <c r="G155" s="4">
        <v>45728</v>
      </c>
      <c r="H155" s="3" t="s">
        <v>142</v>
      </c>
      <c r="I155" s="3">
        <v>2026</v>
      </c>
      <c r="J155" s="4">
        <f t="shared" si="40"/>
        <v>45728</v>
      </c>
      <c r="K155" s="4">
        <f t="shared" si="41"/>
        <v>46093</v>
      </c>
      <c r="L155" s="4">
        <f t="shared" si="44"/>
        <v>46458</v>
      </c>
      <c r="M155" s="3">
        <v>14</v>
      </c>
      <c r="N155" s="3">
        <v>14</v>
      </c>
      <c r="O155" s="4">
        <v>46307</v>
      </c>
      <c r="P155" s="10">
        <f t="shared" si="38"/>
        <v>46320</v>
      </c>
      <c r="Q155" s="9">
        <f t="shared" si="37"/>
        <v>0</v>
      </c>
      <c r="R155" s="11" t="str">
        <f t="shared" si="39"/>
        <v>OK</v>
      </c>
      <c r="S155" s="11" t="str">
        <f t="shared" si="35"/>
        <v>OK</v>
      </c>
    </row>
    <row r="171" spans="5:5" x14ac:dyDescent="0.3">
      <c r="E171" s="14"/>
    </row>
  </sheetData>
  <autoFilter ref="B2:S155" xr:uid="{7821436C-08EA-47B3-8B58-EA058ED8DF6B}">
    <filterColumn colId="1">
      <filters>
        <filter val="LUCAS FERRAZ GONCALVES"/>
      </filters>
    </filterColumn>
  </autoFilter>
  <mergeCells count="3">
    <mergeCell ref="P1:R1"/>
    <mergeCell ref="M1:O1"/>
    <mergeCell ref="G1:L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78004-1B04-43D5-BAEF-09436FCEE413}">
  <dimension ref="A1:G92"/>
  <sheetViews>
    <sheetView workbookViewId="0">
      <selection activeCell="G8" sqref="G8"/>
    </sheetView>
  </sheetViews>
  <sheetFormatPr defaultRowHeight="14.4" x14ac:dyDescent="0.3"/>
  <cols>
    <col min="1" max="1" width="38.6640625" bestFit="1" customWidth="1"/>
    <col min="2" max="2" width="41" customWidth="1"/>
    <col min="6" max="6" width="38.6640625" bestFit="1" customWidth="1"/>
    <col min="7" max="7" width="20.88671875" bestFit="1" customWidth="1"/>
  </cols>
  <sheetData>
    <row r="1" spans="1:7" x14ac:dyDescent="0.3">
      <c r="A1" s="7" t="s">
        <v>134</v>
      </c>
      <c r="B1" s="7" t="s">
        <v>139</v>
      </c>
      <c r="F1" s="17" t="s">
        <v>153</v>
      </c>
    </row>
    <row r="2" spans="1:7" x14ac:dyDescent="0.3">
      <c r="A2" s="6" t="s">
        <v>136</v>
      </c>
      <c r="B2" s="6" t="s">
        <v>43</v>
      </c>
      <c r="F2" s="18" t="s">
        <v>152</v>
      </c>
      <c r="G2" t="s">
        <v>156</v>
      </c>
    </row>
    <row r="3" spans="1:7" x14ac:dyDescent="0.3">
      <c r="A3" s="6" t="s">
        <v>136</v>
      </c>
      <c r="B3" s="6" t="s">
        <v>43</v>
      </c>
      <c r="F3" s="18" t="s">
        <v>5</v>
      </c>
      <c r="G3" t="s">
        <v>159</v>
      </c>
    </row>
    <row r="4" spans="1:7" x14ac:dyDescent="0.3">
      <c r="A4" s="2" t="s">
        <v>22</v>
      </c>
      <c r="B4" s="6" t="s">
        <v>131</v>
      </c>
      <c r="F4" s="18" t="s">
        <v>19</v>
      </c>
    </row>
    <row r="5" spans="1:7" x14ac:dyDescent="0.3">
      <c r="A5" s="2" t="s">
        <v>44</v>
      </c>
      <c r="B5" s="6" t="s">
        <v>62</v>
      </c>
      <c r="F5" s="18" t="s">
        <v>21</v>
      </c>
    </row>
    <row r="6" spans="1:7" x14ac:dyDescent="0.3">
      <c r="A6" s="6" t="s">
        <v>19</v>
      </c>
      <c r="B6" s="6" t="s">
        <v>19</v>
      </c>
      <c r="F6" s="18" t="s">
        <v>22</v>
      </c>
      <c r="G6" t="s">
        <v>158</v>
      </c>
    </row>
    <row r="7" spans="1:7" x14ac:dyDescent="0.3">
      <c r="A7" s="6" t="s">
        <v>129</v>
      </c>
      <c r="B7" s="6" t="s">
        <v>131</v>
      </c>
      <c r="F7" s="18" t="s">
        <v>137</v>
      </c>
      <c r="G7" t="s">
        <v>158</v>
      </c>
    </row>
    <row r="8" spans="1:7" x14ac:dyDescent="0.3">
      <c r="A8" s="6" t="s">
        <v>129</v>
      </c>
      <c r="B8" s="6" t="s">
        <v>131</v>
      </c>
      <c r="F8" s="18" t="s">
        <v>43</v>
      </c>
    </row>
    <row r="9" spans="1:7" x14ac:dyDescent="0.3">
      <c r="A9" s="6" t="s">
        <v>129</v>
      </c>
      <c r="B9" s="6" t="s">
        <v>131</v>
      </c>
      <c r="F9" s="18" t="s">
        <v>44</v>
      </c>
      <c r="G9" t="s">
        <v>156</v>
      </c>
    </row>
    <row r="10" spans="1:7" x14ac:dyDescent="0.3">
      <c r="A10" s="6" t="s">
        <v>129</v>
      </c>
      <c r="B10" s="6" t="s">
        <v>131</v>
      </c>
      <c r="F10" s="18" t="s">
        <v>55</v>
      </c>
    </row>
    <row r="11" spans="1:7" x14ac:dyDescent="0.3">
      <c r="A11" s="6" t="s">
        <v>5</v>
      </c>
      <c r="B11" s="6" t="s">
        <v>19</v>
      </c>
      <c r="F11" s="18" t="s">
        <v>59</v>
      </c>
      <c r="G11" t="s">
        <v>157</v>
      </c>
    </row>
    <row r="12" spans="1:7" x14ac:dyDescent="0.3">
      <c r="A12" s="6" t="s">
        <v>152</v>
      </c>
      <c r="B12" s="6" t="s">
        <v>43</v>
      </c>
      <c r="F12" s="18" t="s">
        <v>61</v>
      </c>
      <c r="G12" t="s">
        <v>160</v>
      </c>
    </row>
    <row r="13" spans="1:7" x14ac:dyDescent="0.3">
      <c r="A13" s="6" t="s">
        <v>152</v>
      </c>
      <c r="B13" s="6" t="s">
        <v>43</v>
      </c>
      <c r="F13" s="18" t="s">
        <v>130</v>
      </c>
    </row>
    <row r="14" spans="1:7" x14ac:dyDescent="0.3">
      <c r="A14" s="6" t="s">
        <v>59</v>
      </c>
      <c r="B14" s="6" t="s">
        <v>59</v>
      </c>
      <c r="F14" s="18" t="s">
        <v>129</v>
      </c>
      <c r="G14" t="s">
        <v>158</v>
      </c>
    </row>
    <row r="15" spans="1:7" x14ac:dyDescent="0.3">
      <c r="A15" s="2" t="s">
        <v>19</v>
      </c>
      <c r="B15" s="6" t="s">
        <v>62</v>
      </c>
      <c r="F15" s="18" t="s">
        <v>136</v>
      </c>
      <c r="G15" t="s">
        <v>156</v>
      </c>
    </row>
    <row r="16" spans="1:7" x14ac:dyDescent="0.3">
      <c r="A16" s="2" t="s">
        <v>19</v>
      </c>
      <c r="B16" s="6" t="s">
        <v>62</v>
      </c>
      <c r="F16" s="18" t="s">
        <v>154</v>
      </c>
    </row>
    <row r="17" spans="1:6" x14ac:dyDescent="0.3">
      <c r="A17" s="2" t="s">
        <v>22</v>
      </c>
      <c r="B17" s="6" t="s">
        <v>131</v>
      </c>
      <c r="F17" s="18" t="s">
        <v>155</v>
      </c>
    </row>
    <row r="18" spans="1:6" x14ac:dyDescent="0.3">
      <c r="A18" s="6" t="s">
        <v>136</v>
      </c>
      <c r="B18" s="6" t="s">
        <v>43</v>
      </c>
    </row>
    <row r="19" spans="1:6" x14ac:dyDescent="0.3">
      <c r="A19" s="6" t="s">
        <v>21</v>
      </c>
      <c r="B19" s="6" t="s">
        <v>43</v>
      </c>
    </row>
    <row r="20" spans="1:6" x14ac:dyDescent="0.3">
      <c r="A20" s="2" t="s">
        <v>22</v>
      </c>
      <c r="B20" s="6" t="s">
        <v>62</v>
      </c>
    </row>
    <row r="21" spans="1:6" x14ac:dyDescent="0.3">
      <c r="A21" s="2" t="s">
        <v>22</v>
      </c>
      <c r="B21" s="6" t="s">
        <v>62</v>
      </c>
    </row>
    <row r="22" spans="1:6" x14ac:dyDescent="0.3">
      <c r="A22" s="6" t="s">
        <v>152</v>
      </c>
      <c r="B22" s="6" t="s">
        <v>19</v>
      </c>
    </row>
    <row r="23" spans="1:6" x14ac:dyDescent="0.3">
      <c r="A23" s="6" t="s">
        <v>136</v>
      </c>
      <c r="B23" s="6" t="s">
        <v>43</v>
      </c>
    </row>
    <row r="24" spans="1:6" x14ac:dyDescent="0.3">
      <c r="A24" s="6" t="s">
        <v>21</v>
      </c>
      <c r="B24" s="6" t="s">
        <v>43</v>
      </c>
    </row>
    <row r="25" spans="1:6" x14ac:dyDescent="0.3">
      <c r="A25" s="6" t="s">
        <v>137</v>
      </c>
      <c r="B25" s="6" t="s">
        <v>137</v>
      </c>
    </row>
    <row r="26" spans="1:6" x14ac:dyDescent="0.3">
      <c r="A26" s="6" t="s">
        <v>137</v>
      </c>
      <c r="B26" s="6" t="s">
        <v>59</v>
      </c>
    </row>
    <row r="27" spans="1:6" x14ac:dyDescent="0.3">
      <c r="A27" s="6" t="s">
        <v>137</v>
      </c>
      <c r="B27" s="6" t="s">
        <v>59</v>
      </c>
    </row>
    <row r="28" spans="1:6" x14ac:dyDescent="0.3">
      <c r="A28" s="6" t="s">
        <v>59</v>
      </c>
      <c r="B28" s="6" t="s">
        <v>59</v>
      </c>
    </row>
    <row r="29" spans="1:6" x14ac:dyDescent="0.3">
      <c r="A29" s="6" t="s">
        <v>59</v>
      </c>
      <c r="B29" s="6" t="s">
        <v>59</v>
      </c>
    </row>
    <row r="30" spans="1:6" x14ac:dyDescent="0.3">
      <c r="A30" s="6" t="s">
        <v>59</v>
      </c>
      <c r="B30" s="6" t="s">
        <v>43</v>
      </c>
    </row>
    <row r="31" spans="1:6" x14ac:dyDescent="0.3">
      <c r="A31" s="2" t="s">
        <v>22</v>
      </c>
      <c r="B31" s="6" t="s">
        <v>131</v>
      </c>
    </row>
    <row r="32" spans="1:6" x14ac:dyDescent="0.3">
      <c r="A32" s="2" t="s">
        <v>22</v>
      </c>
      <c r="B32" s="6" t="s">
        <v>131</v>
      </c>
    </row>
    <row r="33" spans="1:2" x14ac:dyDescent="0.3">
      <c r="A33" s="2" t="s">
        <v>22</v>
      </c>
      <c r="B33" s="6" t="s">
        <v>131</v>
      </c>
    </row>
    <row r="34" spans="1:2" x14ac:dyDescent="0.3">
      <c r="A34" s="6" t="s">
        <v>136</v>
      </c>
      <c r="B34" s="6" t="s">
        <v>43</v>
      </c>
    </row>
    <row r="35" spans="1:2" x14ac:dyDescent="0.3">
      <c r="A35" s="6" t="s">
        <v>136</v>
      </c>
      <c r="B35" s="6" t="s">
        <v>43</v>
      </c>
    </row>
    <row r="36" spans="1:2" x14ac:dyDescent="0.3">
      <c r="A36" s="2" t="s">
        <v>22</v>
      </c>
      <c r="B36" s="6" t="s">
        <v>131</v>
      </c>
    </row>
    <row r="37" spans="1:2" x14ac:dyDescent="0.3">
      <c r="A37" s="2" t="s">
        <v>22</v>
      </c>
      <c r="B37" s="6" t="s">
        <v>131</v>
      </c>
    </row>
    <row r="38" spans="1:2" x14ac:dyDescent="0.3">
      <c r="A38" s="6" t="s">
        <v>129</v>
      </c>
      <c r="B38" s="6" t="s">
        <v>131</v>
      </c>
    </row>
    <row r="39" spans="1:2" x14ac:dyDescent="0.3">
      <c r="A39" s="6" t="s">
        <v>129</v>
      </c>
      <c r="B39" s="6" t="s">
        <v>131</v>
      </c>
    </row>
    <row r="40" spans="1:2" x14ac:dyDescent="0.3">
      <c r="A40" s="6" t="s">
        <v>152</v>
      </c>
      <c r="B40" s="6" t="s">
        <v>19</v>
      </c>
    </row>
    <row r="41" spans="1:2" x14ac:dyDescent="0.3">
      <c r="A41" s="6" t="s">
        <v>59</v>
      </c>
      <c r="B41" s="6" t="s">
        <v>43</v>
      </c>
    </row>
    <row r="42" spans="1:2" x14ac:dyDescent="0.3">
      <c r="A42" s="6" t="s">
        <v>59</v>
      </c>
      <c r="B42" s="6" t="s">
        <v>43</v>
      </c>
    </row>
    <row r="43" spans="1:2" x14ac:dyDescent="0.3">
      <c r="A43" s="2" t="s">
        <v>43</v>
      </c>
      <c r="B43" s="6" t="s">
        <v>62</v>
      </c>
    </row>
    <row r="44" spans="1:2" x14ac:dyDescent="0.3">
      <c r="A44" s="2" t="s">
        <v>43</v>
      </c>
      <c r="B44" s="6" t="s">
        <v>62</v>
      </c>
    </row>
    <row r="45" spans="1:2" x14ac:dyDescent="0.3">
      <c r="A45" s="6" t="s">
        <v>136</v>
      </c>
      <c r="B45" s="6" t="s">
        <v>43</v>
      </c>
    </row>
    <row r="46" spans="1:2" x14ac:dyDescent="0.3">
      <c r="A46" s="6" t="s">
        <v>136</v>
      </c>
      <c r="B46" s="6" t="s">
        <v>43</v>
      </c>
    </row>
    <row r="47" spans="1:2" x14ac:dyDescent="0.3">
      <c r="A47" s="2" t="s">
        <v>22</v>
      </c>
      <c r="B47" s="6" t="s">
        <v>131</v>
      </c>
    </row>
    <row r="48" spans="1:2" x14ac:dyDescent="0.3">
      <c r="A48" s="6" t="s">
        <v>59</v>
      </c>
      <c r="B48" s="6" t="s">
        <v>59</v>
      </c>
    </row>
    <row r="49" spans="1:2" x14ac:dyDescent="0.3">
      <c r="A49" s="6" t="s">
        <v>59</v>
      </c>
      <c r="B49" s="6" t="s">
        <v>59</v>
      </c>
    </row>
    <row r="50" spans="1:2" x14ac:dyDescent="0.3">
      <c r="A50" s="6" t="s">
        <v>137</v>
      </c>
      <c r="B50" s="6" t="s">
        <v>59</v>
      </c>
    </row>
    <row r="51" spans="1:2" x14ac:dyDescent="0.3">
      <c r="A51" s="6" t="s">
        <v>137</v>
      </c>
      <c r="B51" s="6" t="s">
        <v>59</v>
      </c>
    </row>
    <row r="52" spans="1:2" x14ac:dyDescent="0.3">
      <c r="A52" s="6" t="s">
        <v>19</v>
      </c>
      <c r="B52" s="6" t="s">
        <v>19</v>
      </c>
    </row>
    <row r="53" spans="1:2" x14ac:dyDescent="0.3">
      <c r="A53" s="6" t="s">
        <v>19</v>
      </c>
      <c r="B53" s="6" t="s">
        <v>19</v>
      </c>
    </row>
    <row r="54" spans="1:2" x14ac:dyDescent="0.3">
      <c r="A54" s="2" t="s">
        <v>55</v>
      </c>
      <c r="B54" s="6" t="s">
        <v>62</v>
      </c>
    </row>
    <row r="55" spans="1:2" x14ac:dyDescent="0.3">
      <c r="A55" s="2" t="s">
        <v>55</v>
      </c>
      <c r="B55" s="6" t="s">
        <v>62</v>
      </c>
    </row>
    <row r="56" spans="1:2" x14ac:dyDescent="0.3">
      <c r="A56" s="6" t="s">
        <v>137</v>
      </c>
      <c r="B56" s="6" t="s">
        <v>59</v>
      </c>
    </row>
    <row r="57" spans="1:2" x14ac:dyDescent="0.3">
      <c r="A57" s="6" t="s">
        <v>59</v>
      </c>
      <c r="B57" s="6" t="s">
        <v>43</v>
      </c>
    </row>
    <row r="58" spans="1:2" x14ac:dyDescent="0.3">
      <c r="A58" s="6" t="s">
        <v>59</v>
      </c>
      <c r="B58" s="6" t="s">
        <v>43</v>
      </c>
    </row>
    <row r="59" spans="1:2" x14ac:dyDescent="0.3">
      <c r="A59" s="6" t="s">
        <v>43</v>
      </c>
      <c r="B59" s="6" t="s">
        <v>43</v>
      </c>
    </row>
    <row r="60" spans="1:2" x14ac:dyDescent="0.3">
      <c r="A60" s="6" t="s">
        <v>43</v>
      </c>
      <c r="B60" s="6" t="s">
        <v>43</v>
      </c>
    </row>
    <row r="61" spans="1:2" x14ac:dyDescent="0.3">
      <c r="A61" s="2" t="s">
        <v>22</v>
      </c>
      <c r="B61" s="6" t="s">
        <v>131</v>
      </c>
    </row>
    <row r="62" spans="1:2" x14ac:dyDescent="0.3">
      <c r="A62" s="2" t="s">
        <v>22</v>
      </c>
      <c r="B62" s="6" t="s">
        <v>131</v>
      </c>
    </row>
    <row r="63" spans="1:2" x14ac:dyDescent="0.3">
      <c r="A63" s="6" t="s">
        <v>59</v>
      </c>
      <c r="B63" s="6" t="s">
        <v>43</v>
      </c>
    </row>
    <row r="64" spans="1:2" x14ac:dyDescent="0.3">
      <c r="A64" s="2" t="s">
        <v>61</v>
      </c>
      <c r="B64" s="2" t="s">
        <v>61</v>
      </c>
    </row>
    <row r="65" spans="1:2" x14ac:dyDescent="0.3">
      <c r="A65" s="2" t="s">
        <v>61</v>
      </c>
      <c r="B65" s="2" t="s">
        <v>61</v>
      </c>
    </row>
    <row r="66" spans="1:2" x14ac:dyDescent="0.3">
      <c r="A66" s="6" t="s">
        <v>61</v>
      </c>
      <c r="B66" s="6" t="s">
        <v>61</v>
      </c>
    </row>
    <row r="67" spans="1:2" x14ac:dyDescent="0.3">
      <c r="A67" s="6" t="s">
        <v>61</v>
      </c>
      <c r="B67" s="6" t="s">
        <v>61</v>
      </c>
    </row>
    <row r="68" spans="1:2" x14ac:dyDescent="0.3">
      <c r="A68" s="6" t="s">
        <v>137</v>
      </c>
      <c r="B68" s="6" t="s">
        <v>59</v>
      </c>
    </row>
    <row r="69" spans="1:2" x14ac:dyDescent="0.3">
      <c r="A69" s="6" t="s">
        <v>137</v>
      </c>
      <c r="B69" s="6" t="s">
        <v>59</v>
      </c>
    </row>
    <row r="70" spans="1:2" x14ac:dyDescent="0.3">
      <c r="A70" s="6" t="s">
        <v>137</v>
      </c>
      <c r="B70" s="6" t="s">
        <v>59</v>
      </c>
    </row>
    <row r="71" spans="1:2" x14ac:dyDescent="0.3">
      <c r="A71" s="6" t="s">
        <v>137</v>
      </c>
      <c r="B71" s="6" t="s">
        <v>59</v>
      </c>
    </row>
    <row r="72" spans="1:2" x14ac:dyDescent="0.3">
      <c r="A72" s="6" t="s">
        <v>19</v>
      </c>
      <c r="B72" s="6" t="s">
        <v>19</v>
      </c>
    </row>
    <row r="73" spans="1:2" x14ac:dyDescent="0.3">
      <c r="A73" s="6" t="s">
        <v>137</v>
      </c>
      <c r="B73" s="6" t="s">
        <v>59</v>
      </c>
    </row>
    <row r="74" spans="1:2" x14ac:dyDescent="0.3">
      <c r="A74" s="6" t="s">
        <v>137</v>
      </c>
      <c r="B74" s="6" t="s">
        <v>59</v>
      </c>
    </row>
    <row r="75" spans="1:2" x14ac:dyDescent="0.3">
      <c r="A75" s="6" t="s">
        <v>136</v>
      </c>
      <c r="B75" s="6" t="s">
        <v>43</v>
      </c>
    </row>
    <row r="76" spans="1:2" x14ac:dyDescent="0.3">
      <c r="A76" s="6" t="s">
        <v>136</v>
      </c>
      <c r="B76" s="6" t="s">
        <v>43</v>
      </c>
    </row>
    <row r="77" spans="1:2" x14ac:dyDescent="0.3">
      <c r="A77" s="6" t="s">
        <v>130</v>
      </c>
      <c r="B77" s="6" t="s">
        <v>19</v>
      </c>
    </row>
    <row r="78" spans="1:2" x14ac:dyDescent="0.3">
      <c r="A78" s="6" t="s">
        <v>136</v>
      </c>
      <c r="B78" s="6" t="s">
        <v>43</v>
      </c>
    </row>
    <row r="79" spans="1:2" x14ac:dyDescent="0.3">
      <c r="A79" s="6" t="s">
        <v>59</v>
      </c>
      <c r="B79" s="6" t="s">
        <v>43</v>
      </c>
    </row>
    <row r="80" spans="1:2" x14ac:dyDescent="0.3">
      <c r="A80" s="6" t="s">
        <v>19</v>
      </c>
      <c r="B80" s="6" t="s">
        <v>19</v>
      </c>
    </row>
    <row r="81" spans="1:2" x14ac:dyDescent="0.3">
      <c r="A81" s="6" t="s">
        <v>19</v>
      </c>
      <c r="B81" s="6" t="s">
        <v>19</v>
      </c>
    </row>
    <row r="82" spans="1:2" x14ac:dyDescent="0.3">
      <c r="A82" s="6" t="s">
        <v>136</v>
      </c>
      <c r="B82" s="6" t="s">
        <v>43</v>
      </c>
    </row>
    <row r="83" spans="1:2" x14ac:dyDescent="0.3">
      <c r="A83" s="6" t="s">
        <v>136</v>
      </c>
      <c r="B83" s="6" t="s">
        <v>43</v>
      </c>
    </row>
    <row r="84" spans="1:2" x14ac:dyDescent="0.3">
      <c r="A84" s="2" t="s">
        <v>22</v>
      </c>
      <c r="B84" s="6" t="s">
        <v>131</v>
      </c>
    </row>
    <row r="85" spans="1:2" x14ac:dyDescent="0.3">
      <c r="A85" s="2" t="s">
        <v>22</v>
      </c>
      <c r="B85" s="6" t="s">
        <v>131</v>
      </c>
    </row>
    <row r="86" spans="1:2" x14ac:dyDescent="0.3">
      <c r="A86" s="6" t="s">
        <v>43</v>
      </c>
      <c r="B86" s="6" t="s">
        <v>43</v>
      </c>
    </row>
    <row r="87" spans="1:2" x14ac:dyDescent="0.3">
      <c r="A87" s="6" t="s">
        <v>43</v>
      </c>
      <c r="B87" s="6" t="s">
        <v>43</v>
      </c>
    </row>
    <row r="88" spans="1:2" x14ac:dyDescent="0.3">
      <c r="A88" s="6" t="s">
        <v>59</v>
      </c>
      <c r="B88" s="6" t="s">
        <v>43</v>
      </c>
    </row>
    <row r="89" spans="1:2" x14ac:dyDescent="0.3">
      <c r="A89" s="6" t="s">
        <v>59</v>
      </c>
      <c r="B89" s="6" t="s">
        <v>43</v>
      </c>
    </row>
    <row r="90" spans="1:2" x14ac:dyDescent="0.3">
      <c r="A90" s="6" t="s">
        <v>59</v>
      </c>
      <c r="B90" s="6" t="s">
        <v>43</v>
      </c>
    </row>
    <row r="91" spans="1:2" x14ac:dyDescent="0.3">
      <c r="A91" s="2" t="s">
        <v>22</v>
      </c>
      <c r="B91" s="6" t="s">
        <v>131</v>
      </c>
    </row>
    <row r="92" spans="1:2" x14ac:dyDescent="0.3">
      <c r="A92" s="2" t="s">
        <v>22</v>
      </c>
      <c r="B92" s="6" t="s">
        <v>131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D92D-E6EB-453C-8337-FDAA9A9C4042}">
  <dimension ref="A1:B33"/>
  <sheetViews>
    <sheetView workbookViewId="0">
      <selection activeCell="A32" sqref="A32"/>
    </sheetView>
  </sheetViews>
  <sheetFormatPr defaultRowHeight="14.4" x14ac:dyDescent="0.3"/>
  <cols>
    <col min="1" max="1" width="38.109375" bestFit="1" customWidth="1"/>
    <col min="2" max="2" width="40.44140625" bestFit="1" customWidth="1"/>
  </cols>
  <sheetData>
    <row r="1" spans="1:2" x14ac:dyDescent="0.3">
      <c r="A1" t="s">
        <v>4</v>
      </c>
      <c r="B1" t="str">
        <f>VLOOKUP(A1,'PLANILHA MODELO'!C:C,1,0)</f>
        <v>ADAILTON LUCAS GALINDO DE ANDRADE</v>
      </c>
    </row>
    <row r="2" spans="1:2" x14ac:dyDescent="0.3">
      <c r="A2" t="s">
        <v>8</v>
      </c>
      <c r="B2" t="e">
        <f>VLOOKUP(A2,'PLANILHA MODELO'!C:C,1,0)</f>
        <v>#N/A</v>
      </c>
    </row>
    <row r="3" spans="1:2" x14ac:dyDescent="0.3">
      <c r="A3" t="s">
        <v>9</v>
      </c>
      <c r="B3" t="e">
        <f>VLOOKUP(A3,'PLANILHA MODELO'!C:C,1,0)</f>
        <v>#N/A</v>
      </c>
    </row>
    <row r="4" spans="1:2" x14ac:dyDescent="0.3">
      <c r="A4" t="s">
        <v>86</v>
      </c>
      <c r="B4" t="str">
        <f>VLOOKUP(A4,'PLANILHA MODELO'!C:C,1,0)</f>
        <v>ARTHUR FARHAT BENEDITO</v>
      </c>
    </row>
    <row r="5" spans="1:2" x14ac:dyDescent="0.3">
      <c r="A5" t="s">
        <v>11</v>
      </c>
      <c r="B5" t="str">
        <f>VLOOKUP(A5,'PLANILHA MODELO'!C:C,1,0)</f>
        <v>ARTUR VIEIRA JANUTH</v>
      </c>
    </row>
    <row r="6" spans="1:2" x14ac:dyDescent="0.3">
      <c r="A6" t="s">
        <v>14</v>
      </c>
      <c r="B6" t="str">
        <f>VLOOKUP(A6,'PLANILHA MODELO'!C:C,1,0)</f>
        <v>DANIEL CARLOS SILVA</v>
      </c>
    </row>
    <row r="7" spans="1:2" x14ac:dyDescent="0.3">
      <c r="A7" t="s">
        <v>17</v>
      </c>
      <c r="B7" t="e">
        <f>VLOOKUP(A7,'PLANILHA MODELO'!C:C,1,0)</f>
        <v>#N/A</v>
      </c>
    </row>
    <row r="8" spans="1:2" x14ac:dyDescent="0.3">
      <c r="A8" t="s">
        <v>18</v>
      </c>
      <c r="B8" t="str">
        <f>VLOOKUP(A8,'PLANILHA MODELO'!C:C,1,0)</f>
        <v>DIANY STEFFANE FERREIRA SANTANA</v>
      </c>
    </row>
    <row r="9" spans="1:2" x14ac:dyDescent="0.3">
      <c r="A9" t="s">
        <v>20</v>
      </c>
      <c r="B9" t="e">
        <f>VLOOKUP(A9,'PLANILHA MODELO'!C:C,1,0)</f>
        <v>#N/A</v>
      </c>
    </row>
    <row r="10" spans="1:2" x14ac:dyDescent="0.3">
      <c r="A10" t="s">
        <v>85</v>
      </c>
      <c r="B10" t="str">
        <f>VLOOKUP(A10,'PLANILHA MODELO'!C:C,1,0)</f>
        <v>DIVINO FELICIO SANTOS</v>
      </c>
    </row>
    <row r="11" spans="1:2" x14ac:dyDescent="0.3">
      <c r="A11" t="s">
        <v>82</v>
      </c>
      <c r="B11" t="str">
        <f>VLOOKUP(A11,'PLANILHA MODELO'!C:C,1,0)</f>
        <v>EMERSON DE MELO FERREIRA DA SILVA</v>
      </c>
    </row>
    <row r="12" spans="1:2" x14ac:dyDescent="0.3">
      <c r="A12" t="s">
        <v>84</v>
      </c>
      <c r="B12" t="e">
        <f>VLOOKUP(A12,'PLANILHA MODELO'!C:C,1,0)</f>
        <v>#N/A</v>
      </c>
    </row>
    <row r="13" spans="1:2" x14ac:dyDescent="0.3">
      <c r="A13" t="s">
        <v>26</v>
      </c>
      <c r="B13" t="e">
        <f>VLOOKUP(A13,'PLANILHA MODELO'!C:C,1,0)</f>
        <v>#N/A</v>
      </c>
    </row>
    <row r="14" spans="1:2" x14ac:dyDescent="0.3">
      <c r="A14" t="s">
        <v>27</v>
      </c>
      <c r="B14" t="str">
        <f>VLOOKUP(A14,'PLANILHA MODELO'!C:C,1,0)</f>
        <v>GABRIEL DE ANDRADE ABUD</v>
      </c>
    </row>
    <row r="15" spans="1:2" x14ac:dyDescent="0.3">
      <c r="A15" t="s">
        <v>30</v>
      </c>
      <c r="B15" t="str">
        <f>VLOOKUP(A15,'PLANILHA MODELO'!C:C,1,0)</f>
        <v>GUSTAVO VIEIRA LANA</v>
      </c>
    </row>
    <row r="16" spans="1:2" x14ac:dyDescent="0.3">
      <c r="A16" t="s">
        <v>35</v>
      </c>
      <c r="B16" t="str">
        <f>VLOOKUP(A16,'PLANILHA MODELO'!C:C,1,0)</f>
        <v>JAKELINE RAYANE BARROS FELIX</v>
      </c>
    </row>
    <row r="17" spans="1:2" x14ac:dyDescent="0.3">
      <c r="A17" t="s">
        <v>37</v>
      </c>
      <c r="B17" t="str">
        <f>VLOOKUP(A17,'PLANILHA MODELO'!C:C,1,0)</f>
        <v>JEFERSON EXPEDITO DE OLIVEIRA SILVA</v>
      </c>
    </row>
    <row r="18" spans="1:2" x14ac:dyDescent="0.3">
      <c r="A18" t="s">
        <v>38</v>
      </c>
      <c r="B18" t="str">
        <f>VLOOKUP(A18,'PLANILHA MODELO'!C:C,1,0)</f>
        <v>JEFFERSON MAGALHAES DE SA</v>
      </c>
    </row>
    <row r="19" spans="1:2" x14ac:dyDescent="0.3">
      <c r="A19" t="s">
        <v>48</v>
      </c>
      <c r="B19" t="e">
        <f>VLOOKUP(A19,'PLANILHA MODELO'!C:C,1,0)</f>
        <v>#N/A</v>
      </c>
    </row>
    <row r="20" spans="1:2" x14ac:dyDescent="0.3">
      <c r="A20" t="s">
        <v>50</v>
      </c>
      <c r="B20" t="e">
        <f>VLOOKUP(A20,'PLANILHA MODELO'!C:C,1,0)</f>
        <v>#N/A</v>
      </c>
    </row>
    <row r="21" spans="1:2" x14ac:dyDescent="0.3">
      <c r="A21" t="s">
        <v>51</v>
      </c>
      <c r="B21" t="str">
        <f>VLOOKUP(A21,'PLANILHA MODELO'!C:C,1,0)</f>
        <v>LUIZ HENRIQUE FERNANDES BRANDAO</v>
      </c>
    </row>
    <row r="22" spans="1:2" x14ac:dyDescent="0.3">
      <c r="A22" t="s">
        <v>54</v>
      </c>
      <c r="B22" t="str">
        <f>VLOOKUP(A22,'PLANILHA MODELO'!C:C,1,0)</f>
        <v>MARCOS ANTONIO ALMEIDA FERRAIS</v>
      </c>
    </row>
    <row r="23" spans="1:2" x14ac:dyDescent="0.3">
      <c r="A23" t="s">
        <v>56</v>
      </c>
      <c r="B23" t="str">
        <f>VLOOKUP(A23,'PLANILHA MODELO'!C:C,1,0)</f>
        <v>MATEUS NASCIMENTO CEREJO ZICO</v>
      </c>
    </row>
    <row r="24" spans="1:2" x14ac:dyDescent="0.3">
      <c r="A24" t="s">
        <v>92</v>
      </c>
      <c r="B24" t="e">
        <f>VLOOKUP(A24,'PLANILHA MODELO'!C:C,1,0)</f>
        <v>#N/A</v>
      </c>
    </row>
    <row r="25" spans="1:2" x14ac:dyDescent="0.3">
      <c r="A25" t="s">
        <v>83</v>
      </c>
      <c r="B25" t="e">
        <f>VLOOKUP(A25,'PLANILHA MODELO'!C:C,1,0)</f>
        <v>#N/A</v>
      </c>
    </row>
    <row r="26" spans="1:2" x14ac:dyDescent="0.3">
      <c r="A26" t="s">
        <v>63</v>
      </c>
      <c r="B26" t="e">
        <f>VLOOKUP(A26,'PLANILHA MODELO'!C:C,1,0)</f>
        <v>#N/A</v>
      </c>
    </row>
    <row r="27" spans="1:2" x14ac:dyDescent="0.3">
      <c r="A27" t="s">
        <v>65</v>
      </c>
      <c r="B27" t="e">
        <f>VLOOKUP(A27,'PLANILHA MODELO'!C:C,1,0)</f>
        <v>#N/A</v>
      </c>
    </row>
    <row r="28" spans="1:2" x14ac:dyDescent="0.3">
      <c r="A28" t="s">
        <v>66</v>
      </c>
      <c r="B28" t="e">
        <f>VLOOKUP(A28,'PLANILHA MODELO'!C:C,1,0)</f>
        <v>#N/A</v>
      </c>
    </row>
    <row r="29" spans="1:2" x14ac:dyDescent="0.3">
      <c r="A29" t="s">
        <v>67</v>
      </c>
      <c r="B29" t="str">
        <f>VLOOKUP(A29,'PLANILHA MODELO'!C:C,1,0)</f>
        <v>RODOLPHO GUEDES FONSECA</v>
      </c>
    </row>
    <row r="30" spans="1:2" x14ac:dyDescent="0.3">
      <c r="A30" t="s">
        <v>73</v>
      </c>
      <c r="B30" t="str">
        <f>VLOOKUP(A30,'PLANILHA MODELO'!C:C,1,0)</f>
        <v>TALLES COSMI GONCALVES</v>
      </c>
    </row>
    <row r="31" spans="1:2" x14ac:dyDescent="0.3">
      <c r="A31" t="s">
        <v>75</v>
      </c>
      <c r="B31" t="e">
        <f>VLOOKUP(A31,'PLANILHA MODELO'!C:C,1,0)</f>
        <v>#N/A</v>
      </c>
    </row>
    <row r="32" spans="1:2" x14ac:dyDescent="0.3">
      <c r="A32" t="s">
        <v>144</v>
      </c>
      <c r="B32" t="e">
        <f>VLOOKUP(A32,'PLANILHA MODELO'!C:C,1,0)</f>
        <v>#N/A</v>
      </c>
    </row>
    <row r="33" spans="1:2" x14ac:dyDescent="0.3">
      <c r="A33" t="s">
        <v>78</v>
      </c>
      <c r="B33" t="str">
        <f>VLOOKUP(A33,'PLANILHA MODELO'!C:C,1,0)</f>
        <v>WARLEY SANTOS MARTINS NOGUEIRA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8E6F3A6B91E94DA182AA9C5198BAAB" ma:contentTypeVersion="15" ma:contentTypeDescription="Create a new document." ma:contentTypeScope="" ma:versionID="75486eddbe9a4c6f5f4f419c3cc73f9f">
  <xsd:schema xmlns:xsd="http://www.w3.org/2001/XMLSchema" xmlns:xs="http://www.w3.org/2001/XMLSchema" xmlns:p="http://schemas.microsoft.com/office/2006/metadata/properties" xmlns:ns2="7d662c0f-1fb7-4a46-9f85-5661b5c3bb75" xmlns:ns3="57c8bf17-7a9d-4805-892a-29e2c3118d08" targetNamespace="http://schemas.microsoft.com/office/2006/metadata/properties" ma:root="true" ma:fieldsID="dbb21d7bb709a9bb066534d2105a2393" ns2:_="" ns3:_="">
    <xsd:import namespace="7d662c0f-1fb7-4a46-9f85-5661b5c3bb75"/>
    <xsd:import namespace="57c8bf17-7a9d-4805-892a-29e2c3118d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662c0f-1fb7-4a46-9f85-5661b5c3bb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201f610-fd22-46d6-9aa9-19573a5638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c8bf17-7a9d-4805-892a-29e2c3118d0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fd8e5eb-5027-479a-93e6-adc158a8a8a0}" ma:internalName="TaxCatchAll" ma:showField="CatchAllData" ma:web="57c8bf17-7a9d-4805-892a-29e2c3118d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662c0f-1fb7-4a46-9f85-5661b5c3bb75">
      <Terms xmlns="http://schemas.microsoft.com/office/infopath/2007/PartnerControls"/>
    </lcf76f155ced4ddcb4097134ff3c332f>
    <TaxCatchAll xmlns="57c8bf17-7a9d-4805-892a-29e2c3118d08" xsi:nil="true"/>
  </documentManagement>
</p:properties>
</file>

<file path=customXml/itemProps1.xml><?xml version="1.0" encoding="utf-8"?>
<ds:datastoreItem xmlns:ds="http://schemas.openxmlformats.org/officeDocument/2006/customXml" ds:itemID="{F19CD6CD-C621-4EFB-B678-FFFFAEBDCF1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04F895C-64A8-464A-A137-6E0A10E81A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662c0f-1fb7-4a46-9f85-5661b5c3bb75"/>
    <ds:schemaRef ds:uri="57c8bf17-7a9d-4805-892a-29e2c3118d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32A7CF-5E4C-47E8-A2B1-E99A33A97C3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1F863B1-39C4-4DDD-B959-A31DEBDE1674}">
  <ds:schemaRefs>
    <ds:schemaRef ds:uri="http://schemas.microsoft.com/office/2006/metadata/properties"/>
    <ds:schemaRef ds:uri="http://schemas.microsoft.com/office/infopath/2007/PartnerControls"/>
    <ds:schemaRef ds:uri="7d662c0f-1fb7-4a46-9f85-5661b5c3bb75"/>
    <ds:schemaRef ds:uri="57c8bf17-7a9d-4805-892a-29e2c3118d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 MODELO</vt:lpstr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Washington Moreira Maciel</dc:creator>
  <cp:lastModifiedBy>Lucas Ferraz</cp:lastModifiedBy>
  <dcterms:created xsi:type="dcterms:W3CDTF">2026-01-13T14:57:22Z</dcterms:created>
  <dcterms:modified xsi:type="dcterms:W3CDTF">2026-05-26T19:26:51Z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0x010100BC8E6F3A6B91E94DA182AA9C5198BAAB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