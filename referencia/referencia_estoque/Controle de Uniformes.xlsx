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.guimaraes\Downloads\"/>
    </mc:Choice>
  </mc:AlternateContent>
  <xr:revisionPtr revIDLastSave="0" documentId="13_ncr:1_{A90DC2F1-76EE-4D18-87C6-6B27D4044AE4}" xr6:coauthVersionLast="47" xr6:coauthVersionMax="47" xr10:uidLastSave="{00000000-0000-0000-0000-000000000000}"/>
  <bookViews>
    <workbookView xWindow="-110" yWindow="-110" windowWidth="19420" windowHeight="11500" tabRatio="1000" firstSheet="1" activeTab="1" xr2:uid="{89359264-023A-486E-9DBB-126F16D2EFF5}"/>
  </bookViews>
  <sheets>
    <sheet name="Planilha1" sheetId="1" state="hidden" r:id="rId1"/>
    <sheet name="Controle de Uniformes" sheetId="2" r:id="rId2"/>
    <sheet name="Entrega Agasalhos" sheetId="3" state="hidden" r:id="rId3"/>
    <sheet name="Planilha2" sheetId="4" state="hidden" r:id="rId4"/>
    <sheet name="Folha2" sheetId="5" state="hidden" r:id="rId5"/>
    <sheet name="Folha3" sheetId="6" state="hidden" r:id="rId6"/>
    <sheet name="Planilha2 (2)" sheetId="7" state="hidden" r:id="rId7"/>
  </sheets>
  <definedNames>
    <definedName name="_xlnm._FilterDatabase" localSheetId="1" hidden="1">'Controle de Uniformes'!$C$2:$E$54</definedName>
    <definedName name="_xlnm._FilterDatabase" localSheetId="2" hidden="1">'Entrega Agasalhos'!$F$12:$H$48</definedName>
    <definedName name="_xlnm._FilterDatabase" localSheetId="4" hidden="1">Folha2!$A$1:$E$69</definedName>
    <definedName name="_xlnm._FilterDatabase" localSheetId="3" hidden="1">Planilha2!$A$2:$J$39</definedName>
    <definedName name="_xlnm._FilterDatabase" localSheetId="6" hidden="1">'Planilha2 (2)'!$A$2:$H$37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4" i="2" l="1"/>
  <c r="P44" i="2" s="1"/>
  <c r="M44" i="2"/>
  <c r="K44" i="2"/>
  <c r="I44" i="2"/>
  <c r="I40" i="2"/>
  <c r="K40" i="2"/>
  <c r="I41" i="2"/>
  <c r="K41" i="2"/>
  <c r="M41" i="2"/>
  <c r="O41" i="2"/>
  <c r="P41" i="2" s="1"/>
  <c r="I42" i="2"/>
  <c r="K42" i="2"/>
  <c r="M42" i="2"/>
  <c r="O42" i="2"/>
  <c r="P42" i="2" s="1"/>
  <c r="I43" i="2"/>
  <c r="K43" i="2"/>
  <c r="M43" i="2"/>
  <c r="O43" i="2"/>
  <c r="P43" i="2" s="1"/>
  <c r="I17" i="2"/>
  <c r="I4" i="2"/>
  <c r="M4" i="2"/>
  <c r="R4" i="2"/>
  <c r="E37" i="7"/>
  <c r="H36" i="7"/>
  <c r="F36" i="7"/>
  <c r="H35" i="7"/>
  <c r="F35" i="7"/>
  <c r="H34" i="7"/>
  <c r="F34" i="7"/>
  <c r="H33" i="7"/>
  <c r="F33" i="7"/>
  <c r="H32" i="7"/>
  <c r="F32" i="7"/>
  <c r="H31" i="7"/>
  <c r="F31" i="7"/>
  <c r="H30" i="7"/>
  <c r="F30" i="7"/>
  <c r="H29" i="7"/>
  <c r="F29" i="7"/>
  <c r="H28" i="7"/>
  <c r="F28" i="7"/>
  <c r="H27" i="7"/>
  <c r="F27" i="7"/>
  <c r="H26" i="7"/>
  <c r="F26" i="7"/>
  <c r="H25" i="7"/>
  <c r="F25" i="7"/>
  <c r="H24" i="7"/>
  <c r="F24" i="7"/>
  <c r="H23" i="7"/>
  <c r="F23" i="7"/>
  <c r="H22" i="7"/>
  <c r="F22" i="7"/>
  <c r="H21" i="7"/>
  <c r="F21" i="7"/>
  <c r="H20" i="7"/>
  <c r="F20" i="7"/>
  <c r="H19" i="7"/>
  <c r="F19" i="7"/>
  <c r="H18" i="7"/>
  <c r="F18" i="7"/>
  <c r="H17" i="7"/>
  <c r="F17" i="7"/>
  <c r="H16" i="7"/>
  <c r="F16" i="7"/>
  <c r="H15" i="7"/>
  <c r="F15" i="7"/>
  <c r="H14" i="7"/>
  <c r="F14" i="7"/>
  <c r="H13" i="7"/>
  <c r="F13" i="7"/>
  <c r="H12" i="7"/>
  <c r="F12" i="7"/>
  <c r="H11" i="7"/>
  <c r="F11" i="7"/>
  <c r="H10" i="7"/>
  <c r="F10" i="7"/>
  <c r="H9" i="7"/>
  <c r="F9" i="7"/>
  <c r="H8" i="7"/>
  <c r="F8" i="7"/>
  <c r="H7" i="7"/>
  <c r="F7" i="7"/>
  <c r="H6" i="7"/>
  <c r="F6" i="7"/>
  <c r="H5" i="7"/>
  <c r="F5" i="7"/>
  <c r="H4" i="7"/>
  <c r="F4" i="7"/>
  <c r="H3" i="7"/>
  <c r="F3" i="7"/>
  <c r="H34" i="4"/>
  <c r="H35" i="4"/>
  <c r="H36" i="4"/>
  <c r="H37" i="4"/>
  <c r="H38" i="4"/>
  <c r="H33" i="4"/>
  <c r="H28" i="4"/>
  <c r="H29" i="4"/>
  <c r="H30" i="4"/>
  <c r="H31" i="4"/>
  <c r="H32" i="4"/>
  <c r="H27" i="4"/>
  <c r="H22" i="4"/>
  <c r="H23" i="4"/>
  <c r="H24" i="4"/>
  <c r="H25" i="4"/>
  <c r="H26" i="4"/>
  <c r="H21" i="4"/>
  <c r="H16" i="4"/>
  <c r="H17" i="4"/>
  <c r="H18" i="4"/>
  <c r="H19" i="4"/>
  <c r="H20" i="4"/>
  <c r="H15" i="4"/>
  <c r="H10" i="4"/>
  <c r="H11" i="4"/>
  <c r="H12" i="4"/>
  <c r="H13" i="4"/>
  <c r="H14" i="4"/>
  <c r="H9" i="4"/>
  <c r="H4" i="4"/>
  <c r="H5" i="4"/>
  <c r="H6" i="4"/>
  <c r="H7" i="4"/>
  <c r="H8" i="4"/>
  <c r="H3" i="4"/>
  <c r="G39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" i="4"/>
  <c r="N13" i="5"/>
  <c r="N5" i="5"/>
  <c r="N6" i="5"/>
  <c r="N7" i="5"/>
  <c r="N8" i="5"/>
  <c r="N9" i="5"/>
  <c r="N10" i="5"/>
  <c r="N11" i="5"/>
  <c r="N12" i="5"/>
  <c r="N4" i="5"/>
  <c r="H12" i="5"/>
  <c r="I12" i="5"/>
  <c r="J12" i="5"/>
  <c r="K12" i="5"/>
  <c r="L12" i="5"/>
  <c r="M12" i="5"/>
  <c r="M13" i="5" s="1"/>
  <c r="H13" i="5"/>
  <c r="I13" i="5"/>
  <c r="J13" i="5"/>
  <c r="K13" i="5"/>
  <c r="L13" i="5"/>
  <c r="H37" i="7" l="1"/>
  <c r="F37" i="7"/>
  <c r="J39" i="4"/>
  <c r="H39" i="4"/>
  <c r="J54" i="2"/>
  <c r="M53" i="2"/>
  <c r="M52" i="2"/>
  <c r="M51" i="2"/>
  <c r="M50" i="2"/>
  <c r="M49" i="2"/>
  <c r="M48" i="2"/>
  <c r="M47" i="2"/>
  <c r="M46" i="2"/>
  <c r="M45" i="2"/>
  <c r="M38" i="2"/>
  <c r="M37" i="2"/>
  <c r="M36" i="2"/>
  <c r="M35" i="2"/>
  <c r="M34" i="2"/>
  <c r="M33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I47" i="2"/>
  <c r="I46" i="2"/>
  <c r="I45" i="2"/>
  <c r="K39" i="2"/>
  <c r="R13" i="2"/>
  <c r="R14" i="2"/>
  <c r="R12" i="2"/>
  <c r="I38" i="2"/>
  <c r="I15" i="2"/>
  <c r="I24" i="2"/>
  <c r="I9" i="2"/>
  <c r="H14" i="3"/>
  <c r="I14" i="3" s="1"/>
  <c r="H15" i="3"/>
  <c r="H16" i="3"/>
  <c r="I16" i="3" s="1"/>
  <c r="H17" i="3"/>
  <c r="H18" i="3"/>
  <c r="H19" i="3"/>
  <c r="H20" i="3"/>
  <c r="H21" i="3"/>
  <c r="I21" i="3" s="1"/>
  <c r="H22" i="3"/>
  <c r="I22" i="3" s="1"/>
  <c r="H23" i="3"/>
  <c r="I23" i="3" s="1"/>
  <c r="H24" i="3"/>
  <c r="I24" i="3" s="1"/>
  <c r="H25" i="3"/>
  <c r="I25" i="3" s="1"/>
  <c r="H26" i="3"/>
  <c r="H27" i="3"/>
  <c r="I27" i="3" s="1"/>
  <c r="H28" i="3"/>
  <c r="H29" i="3"/>
  <c r="H30" i="3"/>
  <c r="H31" i="3"/>
  <c r="H32" i="3"/>
  <c r="D10" i="3" s="1"/>
  <c r="H33" i="3"/>
  <c r="I33" i="3" s="1"/>
  <c r="H34" i="3"/>
  <c r="I34" i="3" s="1"/>
  <c r="H35" i="3"/>
  <c r="I35" i="3" s="1"/>
  <c r="H36" i="3"/>
  <c r="I36" i="3" s="1"/>
  <c r="H37" i="3"/>
  <c r="H38" i="3"/>
  <c r="I38" i="3" s="1"/>
  <c r="H39" i="3"/>
  <c r="H40" i="3"/>
  <c r="H41" i="3"/>
  <c r="I41" i="3" s="1"/>
  <c r="H42" i="3"/>
  <c r="I42" i="3" s="1"/>
  <c r="H43" i="3"/>
  <c r="H44" i="3"/>
  <c r="I44" i="3" s="1"/>
  <c r="H45" i="3"/>
  <c r="H46" i="3"/>
  <c r="I46" i="3" s="1"/>
  <c r="H47" i="3"/>
  <c r="I47" i="3" s="1"/>
  <c r="H48" i="3"/>
  <c r="I48" i="3" s="1"/>
  <c r="H13" i="3"/>
  <c r="I13" i="3" s="1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13" i="3"/>
  <c r="R11" i="2"/>
  <c r="R10" i="2"/>
  <c r="R6" i="2"/>
  <c r="R5" i="2"/>
  <c r="I10" i="2"/>
  <c r="I11" i="2"/>
  <c r="I12" i="2"/>
  <c r="I13" i="2"/>
  <c r="I14" i="2"/>
  <c r="I16" i="2"/>
  <c r="I18" i="2"/>
  <c r="I19" i="2"/>
  <c r="I20" i="2"/>
  <c r="I21" i="2"/>
  <c r="I22" i="2"/>
  <c r="I23" i="2"/>
  <c r="I33" i="2"/>
  <c r="I34" i="2"/>
  <c r="I35" i="2"/>
  <c r="I36" i="2"/>
  <c r="I37" i="2"/>
  <c r="I39" i="2"/>
  <c r="I5" i="2"/>
  <c r="I6" i="2"/>
  <c r="I7" i="2"/>
  <c r="I8" i="2"/>
  <c r="K54" i="2" l="1"/>
  <c r="D5" i="3"/>
  <c r="D2" i="3"/>
  <c r="D9" i="3"/>
  <c r="D6" i="3"/>
  <c r="I17" i="3"/>
  <c r="D7" i="3"/>
  <c r="I20" i="3"/>
  <c r="I32" i="3"/>
  <c r="D8" i="3"/>
  <c r="D3" i="3"/>
  <c r="M54" i="2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6" i="1"/>
</calcChain>
</file>

<file path=xl/sharedStrings.xml><?xml version="1.0" encoding="utf-8"?>
<sst xmlns="http://schemas.openxmlformats.org/spreadsheetml/2006/main" count="969" uniqueCount="207">
  <si>
    <t>Bruno Azevedo</t>
  </si>
  <si>
    <t>Leonardo Drummond</t>
  </si>
  <si>
    <t>Ivan Araujo</t>
  </si>
  <si>
    <t>Ivano Cruz</t>
  </si>
  <si>
    <t>OUTUBRO</t>
  </si>
  <si>
    <t>NOVEMBRO</t>
  </si>
  <si>
    <t>DEZEMBRO</t>
  </si>
  <si>
    <t>JANEIRO</t>
  </si>
  <si>
    <t>FEVEREIRO</t>
  </si>
  <si>
    <t>ABRIL</t>
  </si>
  <si>
    <t>MARÇO</t>
  </si>
  <si>
    <t>MAIO</t>
  </si>
  <si>
    <t>Túlio Morais</t>
  </si>
  <si>
    <t>Pedro Morais</t>
  </si>
  <si>
    <t>Pedro Nery</t>
  </si>
  <si>
    <t>Dias Gozados</t>
  </si>
  <si>
    <t>Dias de Férias</t>
  </si>
  <si>
    <t>Saldo</t>
  </si>
  <si>
    <t>CONTROLE DE FÉRIAS COODENAÇÃO PHD ENGENHARIA</t>
  </si>
  <si>
    <t>JUNHO</t>
  </si>
  <si>
    <t>Mirtes Adriane Da Silva Ferreira Balbino</t>
  </si>
  <si>
    <t>Lucas De Assis Braga</t>
  </si>
  <si>
    <t>Lucas Ferraz Gonçalves</t>
  </si>
  <si>
    <t>Julia Brandao Rocha</t>
  </si>
  <si>
    <t>Keyte Daiana Ramires Nonato</t>
  </si>
  <si>
    <t>Mauricio De Sousa Santos</t>
  </si>
  <si>
    <t>Paulo Ricardo Honório de Moraes</t>
  </si>
  <si>
    <t xml:space="preserve">Ivano Roberto Silva Da Cruz         </t>
  </si>
  <si>
    <t>Sara Lopes Fonseca</t>
  </si>
  <si>
    <t>Paloma Gonçalves Vilela</t>
  </si>
  <si>
    <t>Eduardo Ferreira da Silva</t>
  </si>
  <si>
    <t>Mateus Filipe Corradi De Morais</t>
  </si>
  <si>
    <t>Icaro Antonio Duque Bahia</t>
  </si>
  <si>
    <t>Daniel Dos Santos Almeida</t>
  </si>
  <si>
    <t>William Prates</t>
  </si>
  <si>
    <t>Cindy Evelyn Martins Santos</t>
  </si>
  <si>
    <t>Giovanna Braga</t>
  </si>
  <si>
    <t>Fabio  Oliveira</t>
  </si>
  <si>
    <t xml:space="preserve">Lider </t>
  </si>
  <si>
    <t>Pedro M.</t>
  </si>
  <si>
    <t>Leonardo D.</t>
  </si>
  <si>
    <t>Pedro N.</t>
  </si>
  <si>
    <t>-</t>
  </si>
  <si>
    <t>Maurício</t>
  </si>
  <si>
    <t>Túlio</t>
  </si>
  <si>
    <t>Ivan Araújo</t>
  </si>
  <si>
    <t>Daniel</t>
  </si>
  <si>
    <t>Bruno A.</t>
  </si>
  <si>
    <t>Quantidade</t>
  </si>
  <si>
    <t>CONTROLE DE UNIFORMES</t>
  </si>
  <si>
    <t>CÓDIGO</t>
  </si>
  <si>
    <t>GÊNERO</t>
  </si>
  <si>
    <t>Masculino</t>
  </si>
  <si>
    <t>Feminino</t>
  </si>
  <si>
    <t>Unisex</t>
  </si>
  <si>
    <t>P</t>
  </si>
  <si>
    <t>M</t>
  </si>
  <si>
    <t>G</t>
  </si>
  <si>
    <t>GG</t>
  </si>
  <si>
    <t>XG</t>
  </si>
  <si>
    <t>TAMANHO</t>
  </si>
  <si>
    <t>Camisa Polo</t>
  </si>
  <si>
    <t>Camisa Social Branca</t>
  </si>
  <si>
    <t>DESCRIÇÃO</t>
  </si>
  <si>
    <t>Sede</t>
  </si>
  <si>
    <t>Coordenação</t>
  </si>
  <si>
    <t>Obra</t>
  </si>
  <si>
    <t>SETOR</t>
  </si>
  <si>
    <t>ESTOQUE</t>
  </si>
  <si>
    <t>ESTOQUE MINIMO</t>
  </si>
  <si>
    <t>ESTOQUE MÁXIMO</t>
  </si>
  <si>
    <t>STATUS</t>
  </si>
  <si>
    <t>Setor</t>
  </si>
  <si>
    <t>Gênero</t>
  </si>
  <si>
    <t>Adailton Lucas Galindo De Andrade</t>
  </si>
  <si>
    <t>Andiara De Aquino Reis</t>
  </si>
  <si>
    <t>Arthur Rocha De Almeida Prado</t>
  </si>
  <si>
    <t>Beatriz Campos Silveira</t>
  </si>
  <si>
    <t>Bernardo Muzzi Melgaço</t>
  </si>
  <si>
    <t>Fabrícia Alvarenga Freire</t>
  </si>
  <si>
    <t>Felipe Gabriel Costanzi</t>
  </si>
  <si>
    <t>Filipe De Melo Santos</t>
  </si>
  <si>
    <t>Guilherme De Assis Braga</t>
  </si>
  <si>
    <t>Hudson Juan Machado Vilela</t>
  </si>
  <si>
    <t>Janaína Pedroza Damasceno</t>
  </si>
  <si>
    <t>João Antônio Duque Bahia</t>
  </si>
  <si>
    <t>José Geraldo Da Silva Junior</t>
  </si>
  <si>
    <t>Julio Cesar Silva</t>
  </si>
  <si>
    <t>Luanna Pricyla Marques de Freitas</t>
  </si>
  <si>
    <t>Lucas Souza Braz</t>
  </si>
  <si>
    <t>Luiz Fernando Brandão de Lima</t>
  </si>
  <si>
    <t>Marcio Waldir Borges Mueller Junior</t>
  </si>
  <si>
    <t>Matheus Pera</t>
  </si>
  <si>
    <t xml:space="preserve">Paola Cândida da Silva </t>
  </si>
  <si>
    <t>Pedro Ivo Da Silva Batista Filho</t>
  </si>
  <si>
    <t>Ricardo Nikollas de Andrade Cavalcante</t>
  </si>
  <si>
    <t>Rodrigo Morais Teixeira</t>
  </si>
  <si>
    <t>Ronaldo Mendes Machado</t>
  </si>
  <si>
    <t>Samuel Edson Moreira Dias de Souza</t>
  </si>
  <si>
    <t>Silas Moreira Tupinambá</t>
  </si>
  <si>
    <t>Talles Cosmi Gonçalves</t>
  </si>
  <si>
    <t>Talys Augusto Generoso Morais</t>
  </si>
  <si>
    <t>Taynara Suelly Januario Gonçalves</t>
  </si>
  <si>
    <t>Vinicius Dias Lopes</t>
  </si>
  <si>
    <t>Walter Da Cunha Mendes Neto</t>
  </si>
  <si>
    <t>Yan Cauê da Silva</t>
  </si>
  <si>
    <t>Yan Lucca De Almeida Moreira</t>
  </si>
  <si>
    <t>Yasnaia De Souza Ferreira</t>
  </si>
  <si>
    <t>Marina Botty Madalena</t>
  </si>
  <si>
    <t>Tamanho</t>
  </si>
  <si>
    <t>Colaborador</t>
  </si>
  <si>
    <t>Data Entrega</t>
  </si>
  <si>
    <t>Coordenador</t>
  </si>
  <si>
    <t>Status</t>
  </si>
  <si>
    <t>Situação</t>
  </si>
  <si>
    <t>Observação</t>
  </si>
  <si>
    <t xml:space="preserve">Entregue </t>
  </si>
  <si>
    <t>Não Entregue</t>
  </si>
  <si>
    <t>Eduardo Eller</t>
  </si>
  <si>
    <t>Paulo Paiva</t>
  </si>
  <si>
    <t>Lucas Ferraz</t>
  </si>
  <si>
    <t>Leonardo</t>
  </si>
  <si>
    <t>Bruno</t>
  </si>
  <si>
    <t>Entrega dos agasalhos</t>
  </si>
  <si>
    <t>Separado Coordenador pediu para deixar no Adm</t>
  </si>
  <si>
    <t>Separado no ADM</t>
  </si>
  <si>
    <t>XXG</t>
  </si>
  <si>
    <t xml:space="preserve">Sede </t>
  </si>
  <si>
    <t>Camisa Social Azul com Faixa</t>
  </si>
  <si>
    <t>Camisa Social Azul sem Faixa</t>
  </si>
  <si>
    <t>A SOLICITAR</t>
  </si>
  <si>
    <t>TOTAL DE KITS</t>
  </si>
  <si>
    <t>VALOR UNITÁRIO</t>
  </si>
  <si>
    <t>TOTAL</t>
  </si>
  <si>
    <t>Agasalho</t>
  </si>
  <si>
    <t>OBRA</t>
  </si>
  <si>
    <t>Gustavo Santos Souza</t>
  </si>
  <si>
    <t>Jeferson Expedito de Oliveira Silva</t>
  </si>
  <si>
    <t>F</t>
  </si>
  <si>
    <t>Samara Aparecida Fideles</t>
  </si>
  <si>
    <t>Angela Maria Lopes Campos</t>
  </si>
  <si>
    <t>Paulo Sérgio da Silva Costa Junior</t>
  </si>
  <si>
    <t>Joab Ramos Rodrigues</t>
  </si>
  <si>
    <t>SEDE</t>
  </si>
  <si>
    <t>Dayane Helena De Mendonça</t>
  </si>
  <si>
    <t>Gilberto Santana Cardoso Junior</t>
  </si>
  <si>
    <t>Lucas Lael da Silva Valim</t>
  </si>
  <si>
    <t>Artur Vieira Januth</t>
  </si>
  <si>
    <t>Daniel de Azevedo</t>
  </si>
  <si>
    <t>Andrey Luz Sousa</t>
  </si>
  <si>
    <t>Nilson Paulo de Oliveira</t>
  </si>
  <si>
    <t>Thales Vinicius Vidal Coelho</t>
  </si>
  <si>
    <t>Jarbas De Magalhaes Silva Junior</t>
  </si>
  <si>
    <t>Carlos Rodrigo Tavares Da Cunha</t>
  </si>
  <si>
    <t>Gabriel De Andrade Abud</t>
  </si>
  <si>
    <t>Rodolpho Guedes Fonseca</t>
  </si>
  <si>
    <t>Giovane Lopes Dias</t>
  </si>
  <si>
    <t>Monica Sousa Duarte</t>
  </si>
  <si>
    <t>Handerson Neves Carvalho</t>
  </si>
  <si>
    <t>Larissa Ferreira Alves</t>
  </si>
  <si>
    <t>Raimundo Filipinho Monteiro</t>
  </si>
  <si>
    <t>Ana Rosa Domingues</t>
  </si>
  <si>
    <t>Nilton De Sordi Netto</t>
  </si>
  <si>
    <t>Murilo Goulart Barbosa</t>
  </si>
  <si>
    <t>Ana Maria Pinheiro De Souza</t>
  </si>
  <si>
    <t>Hélio Claro De Oliveira Júnior</t>
  </si>
  <si>
    <t>Thiago Domingos Bonifácio</t>
  </si>
  <si>
    <t>Alexandre Rodrigues Rocha</t>
  </si>
  <si>
    <t>Marcos Paulo De Andrade Dos Santos</t>
  </si>
  <si>
    <t>Rodrigo Meireles Naves</t>
  </si>
  <si>
    <t>Ivan Verve Santos Silva</t>
  </si>
  <si>
    <t>Gianne Francisco Dias</t>
  </si>
  <si>
    <t xml:space="preserve">Giovanna Maria Duarte Guimarães </t>
  </si>
  <si>
    <t>Edijane Marques Rodrigues</t>
  </si>
  <si>
    <t>Letícia Lorraine do Nascimento</t>
  </si>
  <si>
    <t>Cristiane Samara De Melo Lobo</t>
  </si>
  <si>
    <t>Lucas Guimarães Oliveira</t>
  </si>
  <si>
    <t>Agosto</t>
  </si>
  <si>
    <t>Carolline Sénem Lacerda Da Silva</t>
  </si>
  <si>
    <t>Julho</t>
  </si>
  <si>
    <t>Pedro Henrique De Faria Teixeira</t>
  </si>
  <si>
    <t>Junho</t>
  </si>
  <si>
    <t>Maio</t>
  </si>
  <si>
    <t>Abril</t>
  </si>
  <si>
    <t>Lennon Michael Moreira Santos</t>
  </si>
  <si>
    <t>Março</t>
  </si>
  <si>
    <t>Fevereiro</t>
  </si>
  <si>
    <t>Brendo Henrique Lopes</t>
  </si>
  <si>
    <t>Janeiro</t>
  </si>
  <si>
    <t>Silvia Maria da Silva</t>
  </si>
  <si>
    <t>LOCAL DE TRAB.</t>
  </si>
  <si>
    <t>DATA ADMISSÃO</t>
  </si>
  <si>
    <t>M/F</t>
  </si>
  <si>
    <t>Data Nascimento</t>
  </si>
  <si>
    <t>NOME COMPLETO</t>
  </si>
  <si>
    <t>Contagem de LOCAL DE TRAB.</t>
  </si>
  <si>
    <t>ESTOQUE ATUAL</t>
  </si>
  <si>
    <t>QTD SOLICITA</t>
  </si>
  <si>
    <t>Nº DE KITS</t>
  </si>
  <si>
    <t>QTD UNIFORMES DISPENSADOS</t>
  </si>
  <si>
    <t>REFERÊNCIA</t>
  </si>
  <si>
    <t>MÊS</t>
  </si>
  <si>
    <t>TOTAL DE PROFISSIONAIS</t>
  </si>
  <si>
    <t>Considerados Profissionais ativos em 25/08/23</t>
  </si>
  <si>
    <t>GERAL</t>
  </si>
  <si>
    <t xml:space="preserve">Masculino </t>
  </si>
  <si>
    <t xml:space="preserve">Camisa social Branca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</si>
</sst>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[$-416]d;@"/>
  </numFmts>
  <fonts count="3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70C0"/>
      <name val="Calibri"/>
      <family val="2"/>
      <scheme val="minor"/>
    </font>
    <font>
      <sz val="7"/>
      <name val="Tahoma"/>
      <family val="2"/>
    </font>
    <font>
      <sz val="7"/>
      <name val="Tahoma"/>
      <family val="2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name val="Tahoma"/>
      <family val="2"/>
    </font>
    <font>
      <sz val="12"/>
      <color theme="0"/>
      <name val="Calibri"/>
      <family val="2"/>
      <scheme val="minor"/>
    </font>
    <font>
      <sz val="22"/>
      <color theme="0"/>
      <name val="Calibri Light"/>
      <family val="2"/>
      <scheme val="major"/>
    </font>
    <font>
      <sz val="18"/>
      <color theme="0"/>
      <name val="Calibri Light"/>
      <family val="2"/>
      <scheme val="major"/>
    </font>
    <font>
      <sz val="10"/>
      <color rgb="FFC0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8" borderId="0" applyNumberFormat="0" applyBorder="0" applyAlignment="0" applyProtection="0"/>
  </cellStyleXfs>
  <cellXfs count="175">
    <xf numFmtId="0" fontId="0" fillId="0" borderId="0" xfId="0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2" xfId="0" applyBorder="1"/>
    <xf numFmtId="0" fontId="0" fillId="3" borderId="2" xfId="0" applyFill="1" applyBorder="1"/>
    <xf numFmtId="0" fontId="10" fillId="0" borderId="0" xfId="0" applyFont="1"/>
    <xf numFmtId="0" fontId="0" fillId="4" borderId="2" xfId="0" applyFill="1" applyBorder="1"/>
    <xf numFmtId="0" fontId="0" fillId="0" borderId="2" xfId="0" quotePrefix="1" applyBorder="1"/>
    <xf numFmtId="0" fontId="12" fillId="3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/>
    <xf numFmtId="14" fontId="9" fillId="0" borderId="1" xfId="1" applyNumberFormat="1" applyFill="1" applyBorder="1" applyAlignment="1" applyProtection="1">
      <alignment horizontal="left" vertical="center"/>
      <protection locked="0"/>
    </xf>
    <xf numFmtId="0" fontId="9" fillId="0" borderId="1" xfId="1" applyFill="1" applyBorder="1" applyAlignment="1">
      <alignment horizontal="center" vertical="center"/>
    </xf>
    <xf numFmtId="0" fontId="9" fillId="0" borderId="1" xfId="1" applyFill="1" applyBorder="1" applyAlignment="1" applyProtection="1">
      <alignment horizontal="center" vertical="center"/>
      <protection locked="0"/>
    </xf>
    <xf numFmtId="0" fontId="18" fillId="0" borderId="1" xfId="1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 wrapText="1"/>
    </xf>
    <xf numFmtId="0" fontId="17" fillId="9" borderId="1" xfId="0" applyFont="1" applyFill="1" applyBorder="1"/>
    <xf numFmtId="0" fontId="17" fillId="10" borderId="1" xfId="0" applyFont="1" applyFill="1" applyBorder="1"/>
    <xf numFmtId="0" fontId="8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22" fillId="0" borderId="6" xfId="0" applyNumberFormat="1" applyFont="1" applyBorder="1" applyAlignment="1">
      <alignment horizontal="center" vertical="center" wrapText="1"/>
    </xf>
    <xf numFmtId="14" fontId="22" fillId="0" borderId="7" xfId="0" applyNumberFormat="1" applyFont="1" applyBorder="1" applyAlignment="1">
      <alignment horizontal="center" vertical="center" wrapText="1"/>
    </xf>
    <xf numFmtId="0" fontId="0" fillId="0" borderId="8" xfId="0" applyBorder="1"/>
    <xf numFmtId="0" fontId="23" fillId="10" borderId="8" xfId="0" applyFont="1" applyFill="1" applyBorder="1" applyAlignment="1">
      <alignment horizontal="center" vertical="center"/>
    </xf>
    <xf numFmtId="0" fontId="23" fillId="11" borderId="8" xfId="0" applyFont="1" applyFill="1" applyBorder="1" applyAlignment="1">
      <alignment horizontal="center" vertical="center"/>
    </xf>
    <xf numFmtId="0" fontId="20" fillId="12" borderId="0" xfId="0" applyFont="1" applyFill="1" applyAlignment="1">
      <alignment horizontal="left" vertical="center"/>
    </xf>
    <xf numFmtId="0" fontId="0" fillId="12" borderId="8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3" fillId="11" borderId="8" xfId="0" applyFont="1" applyFill="1" applyBorder="1" applyAlignment="1">
      <alignment horizontal="left" vertical="center"/>
    </xf>
    <xf numFmtId="0" fontId="24" fillId="12" borderId="0" xfId="0" applyFont="1" applyFill="1" applyAlignment="1">
      <alignment horizontal="left" vertical="center" wrapText="1"/>
    </xf>
    <xf numFmtId="0" fontId="21" fillId="7" borderId="12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7" borderId="1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14" fontId="6" fillId="0" borderId="1" xfId="1" applyNumberFormat="1" applyFont="1" applyFill="1" applyBorder="1" applyAlignment="1" applyProtection="1">
      <alignment horizontal="left" vertical="center"/>
      <protection locked="0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 applyProtection="1">
      <alignment horizontal="center" vertical="center"/>
      <protection locked="0"/>
    </xf>
    <xf numFmtId="0" fontId="26" fillId="0" borderId="1" xfId="0" applyFont="1" applyBorder="1"/>
    <xf numFmtId="14" fontId="0" fillId="0" borderId="0" xfId="0" applyNumberFormat="1"/>
    <xf numFmtId="14" fontId="5" fillId="0" borderId="1" xfId="1" applyNumberFormat="1" applyFont="1" applyFill="1" applyBorder="1" applyAlignment="1" applyProtection="1">
      <alignment horizontal="left" vertical="center"/>
      <protection locked="0"/>
    </xf>
    <xf numFmtId="0" fontId="5" fillId="0" borderId="1" xfId="1" applyFont="1" applyFill="1" applyBorder="1" applyAlignment="1" applyProtection="1">
      <alignment horizontal="center" vertical="center"/>
      <protection locked="0"/>
    </xf>
    <xf numFmtId="14" fontId="13" fillId="0" borderId="17" xfId="0" applyNumberFormat="1" applyFont="1" applyBorder="1" applyAlignment="1">
      <alignment vertical="center" wrapText="1"/>
    </xf>
    <xf numFmtId="14" fontId="14" fillId="0" borderId="17" xfId="0" applyNumberFormat="1" applyFont="1" applyBorder="1" applyAlignment="1">
      <alignment vertical="center" wrapText="1"/>
    </xf>
    <xf numFmtId="0" fontId="0" fillId="0" borderId="17" xfId="0" applyBorder="1" applyAlignment="1">
      <alignment horizontal="center"/>
    </xf>
    <xf numFmtId="0" fontId="28" fillId="0" borderId="1" xfId="0" applyFont="1" applyBorder="1"/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1" fontId="28" fillId="0" borderId="1" xfId="0" applyNumberFormat="1" applyFont="1" applyBorder="1"/>
    <xf numFmtId="1" fontId="0" fillId="0" borderId="0" xfId="0" applyNumberFormat="1"/>
    <xf numFmtId="14" fontId="4" fillId="0" borderId="1" xfId="1" applyNumberFormat="1" applyFont="1" applyFill="1" applyBorder="1" applyAlignment="1" applyProtection="1">
      <alignment horizontal="left" vertical="center"/>
      <protection locked="0"/>
    </xf>
    <xf numFmtId="0" fontId="4" fillId="0" borderId="1" xfId="1" applyFont="1" applyFill="1" applyBorder="1" applyAlignment="1" applyProtection="1">
      <alignment horizontal="center" vertical="center"/>
      <protection locked="0"/>
    </xf>
    <xf numFmtId="1" fontId="27" fillId="0" borderId="5" xfId="0" applyNumberFormat="1" applyFont="1" applyBorder="1" applyAlignment="1">
      <alignment horizontal="center" vertical="center" wrapText="1"/>
    </xf>
    <xf numFmtId="1" fontId="28" fillId="0" borderId="17" xfId="0" applyNumberFormat="1" applyFont="1" applyBorder="1"/>
    <xf numFmtId="8" fontId="0" fillId="0" borderId="0" xfId="0" applyNumberFormat="1"/>
    <xf numFmtId="8" fontId="29" fillId="15" borderId="18" xfId="0" applyNumberFormat="1" applyFont="1" applyFill="1" applyBorder="1"/>
    <xf numFmtId="8" fontId="29" fillId="16" borderId="18" xfId="0" applyNumberFormat="1" applyFont="1" applyFill="1" applyBorder="1"/>
    <xf numFmtId="8" fontId="29" fillId="17" borderId="18" xfId="0" applyNumberFormat="1" applyFont="1" applyFill="1" applyBorder="1"/>
    <xf numFmtId="0" fontId="30" fillId="0" borderId="0" xfId="0" applyFont="1"/>
    <xf numFmtId="1" fontId="30" fillId="0" borderId="0" xfId="0" applyNumberFormat="1" applyFont="1"/>
    <xf numFmtId="8" fontId="30" fillId="0" borderId="0" xfId="0" applyNumberFormat="1" applyFont="1"/>
    <xf numFmtId="0" fontId="30" fillId="0" borderId="0" xfId="0" applyFont="1" applyAlignment="1">
      <alignment horizontal="center" vertical="center"/>
    </xf>
    <xf numFmtId="0" fontId="19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vertical="center"/>
    </xf>
    <xf numFmtId="0" fontId="16" fillId="6" borderId="3" xfId="0" applyFont="1" applyFill="1" applyBorder="1" applyAlignment="1">
      <alignment vertical="center"/>
    </xf>
    <xf numFmtId="0" fontId="15" fillId="4" borderId="4" xfId="0" applyFont="1" applyFill="1" applyBorder="1" applyAlignment="1">
      <alignment vertical="center" wrapText="1"/>
    </xf>
    <xf numFmtId="0" fontId="27" fillId="0" borderId="4" xfId="0" applyFont="1" applyBorder="1" applyAlignment="1">
      <alignment vertical="center"/>
    </xf>
    <xf numFmtId="1" fontId="27" fillId="0" borderId="4" xfId="0" applyNumberFormat="1" applyFont="1" applyBorder="1" applyAlignment="1">
      <alignment vertical="center" wrapText="1"/>
    </xf>
    <xf numFmtId="14" fontId="9" fillId="5" borderId="1" xfId="1" applyNumberFormat="1" applyFill="1" applyBorder="1" applyAlignment="1" applyProtection="1">
      <alignment horizontal="left" vertical="center"/>
      <protection locked="0"/>
    </xf>
    <xf numFmtId="0" fontId="9" fillId="5" borderId="1" xfId="1" applyFill="1" applyBorder="1" applyAlignment="1">
      <alignment horizontal="center" vertical="center"/>
    </xf>
    <xf numFmtId="0" fontId="9" fillId="5" borderId="1" xfId="1" applyFill="1" applyBorder="1" applyAlignment="1" applyProtection="1">
      <alignment horizontal="center" vertical="center"/>
      <protection locked="0"/>
    </xf>
    <xf numFmtId="14" fontId="13" fillId="5" borderId="1" xfId="0" applyNumberFormat="1" applyFont="1" applyFill="1" applyBorder="1" applyAlignment="1">
      <alignment horizontal="center" vertical="center" wrapText="1"/>
    </xf>
    <xf numFmtId="0" fontId="28" fillId="5" borderId="1" xfId="0" applyFont="1" applyFill="1" applyBorder="1"/>
    <xf numFmtId="1" fontId="28" fillId="5" borderId="1" xfId="0" applyNumberFormat="1" applyFont="1" applyFill="1" applyBorder="1"/>
    <xf numFmtId="0" fontId="13" fillId="5" borderId="1" xfId="0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/>
    </xf>
    <xf numFmtId="14" fontId="6" fillId="5" borderId="1" xfId="1" applyNumberFormat="1" applyFont="1" applyFill="1" applyBorder="1" applyAlignment="1" applyProtection="1">
      <alignment horizontal="left" vertical="center"/>
      <protection locked="0"/>
    </xf>
    <xf numFmtId="14" fontId="4" fillId="5" borderId="1" xfId="1" applyNumberFormat="1" applyFont="1" applyFill="1" applyBorder="1" applyAlignment="1" applyProtection="1">
      <alignment horizontal="left" vertical="center"/>
      <protection locked="0"/>
    </xf>
    <xf numFmtId="0" fontId="18" fillId="5" borderId="1" xfId="1" applyFont="1" applyFill="1" applyBorder="1" applyAlignment="1" applyProtection="1">
      <alignment horizontal="center" vertical="center"/>
      <protection locked="0"/>
    </xf>
    <xf numFmtId="14" fontId="5" fillId="5" borderId="1" xfId="1" applyNumberFormat="1" applyFont="1" applyFill="1" applyBorder="1" applyAlignment="1" applyProtection="1">
      <alignment horizontal="left" vertical="center"/>
      <protection locked="0"/>
    </xf>
    <xf numFmtId="0" fontId="5" fillId="5" borderId="1" xfId="1" applyFont="1" applyFill="1" applyBorder="1" applyAlignment="1" applyProtection="1">
      <alignment horizontal="center" vertical="center"/>
      <protection locked="0"/>
    </xf>
    <xf numFmtId="0" fontId="8" fillId="5" borderId="1" xfId="1" applyFont="1" applyFill="1" applyBorder="1" applyAlignment="1" applyProtection="1">
      <alignment horizontal="center" vertical="center"/>
      <protection locked="0"/>
    </xf>
    <xf numFmtId="0" fontId="4" fillId="5" borderId="1" xfId="1" applyFont="1" applyFill="1" applyBorder="1" applyAlignment="1" applyProtection="1">
      <alignment horizontal="center" vertical="center"/>
      <protection locked="0"/>
    </xf>
    <xf numFmtId="0" fontId="6" fillId="5" borderId="1" xfId="1" applyFont="1" applyFill="1" applyBorder="1" applyAlignment="1" applyProtection="1">
      <alignment horizontal="center" vertical="center"/>
      <protection locked="0"/>
    </xf>
    <xf numFmtId="8" fontId="29" fillId="20" borderId="1" xfId="0" applyNumberFormat="1" applyFont="1" applyFill="1" applyBorder="1"/>
    <xf numFmtId="8" fontId="0" fillId="18" borderId="1" xfId="0" applyNumberFormat="1" applyFill="1" applyBorder="1"/>
    <xf numFmtId="8" fontId="30" fillId="18" borderId="0" xfId="0" applyNumberFormat="1" applyFont="1" applyFill="1"/>
    <xf numFmtId="0" fontId="19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 wrapText="1"/>
    </xf>
    <xf numFmtId="1" fontId="15" fillId="0" borderId="1" xfId="0" applyNumberFormat="1" applyFont="1" applyBorder="1" applyAlignment="1">
      <alignment horizontal="left" vertical="center" wrapText="1"/>
    </xf>
    <xf numFmtId="1" fontId="15" fillId="19" borderId="1" xfId="0" applyNumberFormat="1" applyFont="1" applyFill="1" applyBorder="1" applyAlignment="1">
      <alignment horizontal="left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0" fillId="0" borderId="21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6" borderId="0" xfId="0" applyFont="1" applyFill="1"/>
    <xf numFmtId="14" fontId="16" fillId="6" borderId="0" xfId="0" applyNumberFormat="1" applyFont="1" applyFill="1"/>
    <xf numFmtId="0" fontId="0" fillId="0" borderId="0" xfId="0" pivotButton="1"/>
    <xf numFmtId="0" fontId="10" fillId="21" borderId="20" xfId="0" applyFont="1" applyFill="1" applyBorder="1" applyAlignment="1">
      <alignment horizontal="center"/>
    </xf>
    <xf numFmtId="0" fontId="10" fillId="21" borderId="19" xfId="0" applyFont="1" applyFill="1" applyBorder="1" applyAlignment="1">
      <alignment horizontal="center"/>
    </xf>
    <xf numFmtId="0" fontId="10" fillId="22" borderId="20" xfId="0" applyFont="1" applyFill="1" applyBorder="1" applyAlignment="1">
      <alignment horizontal="center"/>
    </xf>
    <xf numFmtId="0" fontId="10" fillId="22" borderId="19" xfId="0" applyFont="1" applyFill="1" applyBorder="1" applyAlignment="1">
      <alignment horizontal="center"/>
    </xf>
    <xf numFmtId="0" fontId="10" fillId="23" borderId="20" xfId="0" applyFont="1" applyFill="1" applyBorder="1" applyAlignment="1">
      <alignment horizontal="center"/>
    </xf>
    <xf numFmtId="0" fontId="10" fillId="23" borderId="19" xfId="0" applyFont="1" applyFill="1" applyBorder="1" applyAlignment="1">
      <alignment horizontal="center"/>
    </xf>
    <xf numFmtId="0" fontId="10" fillId="12" borderId="24" xfId="0" applyFont="1" applyFill="1" applyBorder="1" applyAlignment="1">
      <alignment horizontal="center"/>
    </xf>
    <xf numFmtId="0" fontId="10" fillId="12" borderId="21" xfId="0" applyFont="1" applyFill="1" applyBorder="1"/>
    <xf numFmtId="0" fontId="10" fillId="0" borderId="21" xfId="0" applyFont="1" applyBorder="1"/>
    <xf numFmtId="0" fontId="10" fillId="0" borderId="25" xfId="0" applyFont="1" applyBorder="1"/>
    <xf numFmtId="0" fontId="10" fillId="12" borderId="25" xfId="0" applyFont="1" applyFill="1" applyBorder="1"/>
    <xf numFmtId="0" fontId="3" fillId="0" borderId="25" xfId="0" applyFont="1" applyBorder="1"/>
    <xf numFmtId="0" fontId="0" fillId="0" borderId="25" xfId="0" applyBorder="1"/>
    <xf numFmtId="0" fontId="3" fillId="0" borderId="18" xfId="0" applyFont="1" applyBorder="1"/>
    <xf numFmtId="0" fontId="0" fillId="0" borderId="18" xfId="0" applyBorder="1"/>
    <xf numFmtId="0" fontId="3" fillId="0" borderId="26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10" fillId="21" borderId="27" xfId="0" applyFont="1" applyFill="1" applyBorder="1"/>
    <xf numFmtId="0" fontId="10" fillId="21" borderId="28" xfId="0" applyFont="1" applyFill="1" applyBorder="1"/>
    <xf numFmtId="0" fontId="10" fillId="21" borderId="33" xfId="0" applyFont="1" applyFill="1" applyBorder="1"/>
    <xf numFmtId="0" fontId="10" fillId="21" borderId="34" xfId="0" applyFont="1" applyFill="1" applyBorder="1"/>
    <xf numFmtId="0" fontId="10" fillId="22" borderId="27" xfId="0" applyFont="1" applyFill="1" applyBorder="1"/>
    <xf numFmtId="0" fontId="10" fillId="22" borderId="28" xfId="0" applyFont="1" applyFill="1" applyBorder="1"/>
    <xf numFmtId="0" fontId="10" fillId="22" borderId="33" xfId="0" applyFont="1" applyFill="1" applyBorder="1"/>
    <xf numFmtId="0" fontId="10" fillId="22" borderId="34" xfId="0" applyFont="1" applyFill="1" applyBorder="1"/>
    <xf numFmtId="0" fontId="10" fillId="23" borderId="27" xfId="0" applyFont="1" applyFill="1" applyBorder="1"/>
    <xf numFmtId="0" fontId="10" fillId="23" borderId="28" xfId="0" applyFont="1" applyFill="1" applyBorder="1"/>
    <xf numFmtId="0" fontId="10" fillId="23" borderId="33" xfId="0" applyFont="1" applyFill="1" applyBorder="1"/>
    <xf numFmtId="0" fontId="10" fillId="23" borderId="34" xfId="0" applyFont="1" applyFill="1" applyBorder="1"/>
    <xf numFmtId="0" fontId="15" fillId="0" borderId="1" xfId="0" applyFont="1" applyBorder="1" applyAlignment="1">
      <alignment horizontal="left" vertical="center" wrapText="1"/>
    </xf>
    <xf numFmtId="0" fontId="10" fillId="12" borderId="21" xfId="0" applyFont="1" applyFill="1" applyBorder="1" applyAlignment="1">
      <alignment horizontal="center"/>
    </xf>
    <xf numFmtId="0" fontId="15" fillId="24" borderId="1" xfId="0" applyFont="1" applyFill="1" applyBorder="1" applyAlignment="1">
      <alignment horizontal="left" vertical="center" wrapText="1"/>
    </xf>
    <xf numFmtId="1" fontId="15" fillId="24" borderId="1" xfId="0" applyNumberFormat="1" applyFont="1" applyFill="1" applyBorder="1" applyAlignment="1">
      <alignment horizontal="left" vertical="center" wrapText="1"/>
    </xf>
    <xf numFmtId="1" fontId="28" fillId="0" borderId="35" xfId="0" applyNumberFormat="1" applyFont="1" applyBorder="1"/>
    <xf numFmtId="14" fontId="13" fillId="0" borderId="0" xfId="0" applyNumberFormat="1" applyFont="1" applyAlignment="1">
      <alignment horizontal="center" vertical="center" wrapText="1"/>
    </xf>
    <xf numFmtId="14" fontId="2" fillId="0" borderId="1" xfId="1" applyNumberFormat="1" applyFont="1" applyFill="1" applyBorder="1" applyAlignment="1" applyProtection="1">
      <alignment horizontal="left" vertical="center"/>
      <protection locked="0"/>
    </xf>
    <xf numFmtId="1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1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25" fillId="13" borderId="0" xfId="0" applyFont="1" applyFill="1" applyAlignment="1">
      <alignment horizontal="left" vertical="center" wrapText="1"/>
    </xf>
    <xf numFmtId="0" fontId="21" fillId="7" borderId="12" xfId="0" applyFont="1" applyFill="1" applyBorder="1" applyAlignment="1">
      <alignment horizontal="center" vertical="center"/>
    </xf>
    <xf numFmtId="0" fontId="21" fillId="7" borderId="14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7" xfId="0" applyBorder="1"/>
    <xf numFmtId="0" fontId="0" fillId="0" borderId="17" xfId="0" applyBorder="1"/>
    <xf numFmtId="0" fontId="0" fillId="14" borderId="7" xfId="0" applyFill="1" applyBorder="1"/>
    <xf numFmtId="0" fontId="0" fillId="14" borderId="17" xfId="0" applyFill="1" applyBorder="1"/>
    <xf numFmtId="0" fontId="16" fillId="6" borderId="1" xfId="0" applyFont="1" applyFill="1" applyBorder="1" applyAlignment="1">
      <alignment horizontal="left" vertical="center"/>
    </xf>
    <xf numFmtId="0" fontId="10" fillId="22" borderId="23" xfId="0" applyFont="1" applyFill="1" applyBorder="1" applyAlignment="1">
      <alignment horizontal="center"/>
    </xf>
    <xf numFmtId="0" fontId="10" fillId="22" borderId="22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10" fillId="23" borderId="22" xfId="0" applyFont="1" applyFill="1" applyBorder="1" applyAlignment="1">
      <alignment horizontal="center"/>
    </xf>
    <xf numFmtId="0" fontId="10" fillId="21" borderId="23" xfId="0" applyFont="1" applyFill="1" applyBorder="1" applyAlignment="1">
      <alignment horizontal="center"/>
    </xf>
    <xf numFmtId="0" fontId="10" fillId="21" borderId="22" xfId="0" applyFont="1" applyFill="1" applyBorder="1" applyAlignment="1">
      <alignment horizontal="center"/>
    </xf>
    <xf numFmtId="14" fontId="1" fillId="0" borderId="1" xfId="1" applyNumberFormat="1" applyFont="1" applyFill="1" applyBorder="1" applyAlignment="1" applyProtection="1">
      <alignment horizontal="left" vertical="center"/>
      <protection locked="0"/>
    </xf>
    <xf numFmtId="14" fontId="1" fillId="0" borderId="1" xfId="1" applyNumberFormat="1" applyFont="1" applyFill="1" applyBorder="1" applyAlignment="1" applyProtection="1">
      <alignment horizontal="center" vertical="center"/>
      <protection locked="0"/>
    </xf>
  </cellXfs>
  <cellStyles count="2">
    <cellStyle name="20% - Ênfase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'Controle de Uniformes'!$R$4:$R$6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'Controle de Uniformes'!$Q$4:$Q$6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D54-4C19-AB1B-307F1434B7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4985199"/>
        <c:axId val="534985679"/>
      </c:barChart>
      <c:catAx>
        <c:axId val="53498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4985679"/>
        <c:crosses val="autoZero"/>
        <c:auto val="1"/>
        <c:lblAlgn val="ctr"/>
        <c:lblOffset val="100"/>
        <c:noMultiLvlLbl val="0"/>
      </c:catAx>
      <c:valAx>
        <c:axId val="5349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498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'Controle de Uniformes'!#REF!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'Controle de Uniformes'!#REF!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DAB-411E-A933-19AE52581A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3083343"/>
        <c:axId val="533089103"/>
      </c:barChart>
      <c:catAx>
        <c:axId val="53308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3089103"/>
        <c:crosses val="autoZero"/>
        <c:auto val="1"/>
        <c:lblAlgn val="ctr"/>
        <c:lblOffset val="100"/>
        <c:noMultiLvlLbl val="0"/>
      </c:catAx>
      <c:valAx>
        <c:axId val="53308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308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'Controle de Uniformes'!$R$10:$R$13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'Controle de Uniformes'!$Q$10:$Q$13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346-4AC6-A8D8-B4B829F604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8628591"/>
        <c:axId val="873338207"/>
      </c:barChart>
      <c:catAx>
        <c:axId val="45862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3338207"/>
        <c:crosses val="autoZero"/>
        <c:auto val="1"/>
        <c:lblAlgn val="ctr"/>
        <c:lblOffset val="100"/>
        <c:noMultiLvlLbl val="0"/>
      </c:catAx>
      <c:valAx>
        <c:axId val="87333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862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'Controle de Uniformes'!#REF!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'Controle de Uniformes'!#REF!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7CF-452F-A109-3BC9E669B4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3083343"/>
        <c:axId val="533089103"/>
      </c:barChart>
      <c:catAx>
        <c:axId val="53308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3089103"/>
        <c:crosses val="autoZero"/>
        <c:auto val="1"/>
        <c:lblAlgn val="ctr"/>
        <c:lblOffset val="100"/>
        <c:noMultiLvlLbl val="0"/>
      </c:catAx>
      <c:valAx>
        <c:axId val="53308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308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613231552162846E-3"/>
          <c:y val="1.0170346353764603E-2"/>
          <c:w val="0.94358608322814608"/>
          <c:h val="0.98982965364623543"/>
        </c:manualLayout>
      </c:layout>
      <c:doughnutChart>
        <c:varyColors val="1"/>
        <c:ser>
          <c:idx val="0"/>
          <c:order val="0"/>
          <c:spPr>
            <a:effectLst/>
          </c:spPr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5D-4C6E-82BD-47EC05D2CB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5D-4C6E-82BD-47EC05D2CB37}"/>
              </c:ext>
            </c:extLst>
          </c:dPt>
          <c:dLbls>
            <c:dLbl>
              <c:idx val="0"/>
              <c:layout>
                <c:manualLayout>
                  <c:x val="2.6881720430107527E-2"/>
                  <c:y val="0.17647058823529399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5D-4C6E-82BD-47EC05D2CB37}"/>
                </c:ext>
              </c:extLst>
            </c:dLbl>
            <c:dLbl>
              <c:idx val="1"/>
              <c:layout>
                <c:manualLayout>
                  <c:x val="-1.4124293785310734E-2"/>
                  <c:y val="-0.2352941176470588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5D-4C6E-82BD-47EC05D2CB37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'Entrega Agasalhos'!$C$2:$C$3</c:f>
              <c:strCache>
                <c:ptCount val="2"/>
                <c:pt idx="0">
                  <c:v>Entregue </c:v>
                </c:pt>
                <c:pt idx="1">
                  <c:v>Não Entregue</c:v>
                </c:pt>
              </c:strCache>
            </c:strRef>
          </c:cat>
          <c:val>
            <c:numRef>
              <c:f>'Entrega Agasalhos'!$D$2:$D$3</c:f>
              <c:numCache>
                <c:formatCode>General</c:formatCode>
                <c:ptCount val="2"/>
                <c:pt idx="0">
                  <c:v>23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D-4C6E-82BD-47EC05D2CB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6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Controle - Definitivo v2.xlsx]Folha3!Tabela Dinâmica13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Contratações</a:t>
            </a:r>
            <a:r>
              <a:rPr lang="pt-BR" baseline="0"/>
              <a:t> Jan. à Ago</a:t>
            </a:r>
            <a:r>
              <a:rPr lang="pt-BR"/>
              <a:t>.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12700" dist="38100" dir="2700000" algn="tl" rotWithShape="0">
              <a:prstClr val="black">
                <a:alpha val="40000"/>
              </a:prstClr>
            </a:outerShdw>
            <a:softEdge rad="0"/>
          </a:effectLst>
          <a:scene3d>
            <a:camera prst="orthographicFront"/>
            <a:lightRig rig="threePt" dir="t"/>
          </a:scene3d>
          <a:sp3d>
            <a:bevelB w="101600" prst="ribl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12700" dist="38100" dir="2700000" algn="tl" rotWithShape="0">
                <a:prstClr val="black">
                  <a:alpha val="40000"/>
                </a:prst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B w="101600" prst="rible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Folha3!$A$4:$B$7</c:f>
              <c:multiLvlStrCache>
                <c:ptCount val="4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Obra</c:v>
                  </c:pt>
                  <c:pt idx="2">
                    <c:v>SEDE</c:v>
                  </c:pt>
                </c:lvl>
              </c:multiLvlStrCache>
            </c:multiLvlStrRef>
          </c:cat>
          <c:val>
            <c:numRef>
              <c:f>Folha3!$C$4:$C$7</c:f>
              <c:numCache>
                <c:formatCode>General</c:formatCode>
                <c:ptCount val="4"/>
                <c:pt idx="0">
                  <c:v>10</c:v>
                </c:pt>
                <c:pt idx="1">
                  <c:v>41</c:v>
                </c:pt>
                <c:pt idx="2">
                  <c:v>7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1-4F0E-832D-A0E00F5A03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9452656"/>
        <c:axId val="674486000"/>
      </c:barChart>
      <c:catAx>
        <c:axId val="219452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4486000"/>
        <c:crosses val="autoZero"/>
        <c:auto val="1"/>
        <c:lblAlgn val="ctr"/>
        <c:lblOffset val="100"/>
        <c:noMultiLvlLbl val="0"/>
      </c:catAx>
      <c:valAx>
        <c:axId val="6744860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9452656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876300</xdr:colOff>
      <xdr:row>0</xdr:row>
      <xdr:rowOff>200026</xdr:rowOff>
    </xdr:from>
    <xdr:to>
      <xdr:col>27</xdr:col>
      <xdr:colOff>528977</xdr:colOff>
      <xdr:row>0</xdr:row>
      <xdr:rowOff>440056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15B2F8A-1FB5-568A-9537-04252EBC2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200026"/>
          <a:ext cx="2244202" cy="247650"/>
        </a:xfrm>
        <a:prstGeom prst="rect">
          <a:avLst/>
        </a:prstGeom>
      </xdr:spPr>
    </xdr:pic>
    <xdr:clientData/>
  </xdr:twoCellAnchor>
  <xdr:twoCellAnchor>
    <xdr:from>
      <xdr:col>18</xdr:col>
      <xdr:colOff>396240</xdr:colOff>
      <xdr:row>0</xdr:row>
      <xdr:rowOff>182880</xdr:rowOff>
    </xdr:from>
    <xdr:to>
      <xdr:col>23</xdr:col>
      <xdr:colOff>403860</xdr:colOff>
      <xdr:row>9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18B68D-DCCA-04E4-7063-5ED5C94BE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388620</xdr:colOff>
      <xdr:row>9</xdr:row>
      <xdr:rowOff>106680</xdr:rowOff>
    </xdr:from>
    <xdr:to>
      <xdr:col>23</xdr:col>
      <xdr:colOff>525780</xdr:colOff>
      <xdr:row>24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387676E-BD31-82B7-7E3F-461E5E4F5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358140</xdr:colOff>
      <xdr:row>24</xdr:row>
      <xdr:rowOff>0</xdr:rowOff>
    </xdr:from>
    <xdr:to>
      <xdr:col>23</xdr:col>
      <xdr:colOff>487680</xdr:colOff>
      <xdr:row>43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6DB3C0E-FE96-323E-57D1-19BC530A2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388620</xdr:colOff>
      <xdr:row>44</xdr:row>
      <xdr:rowOff>0</xdr:rowOff>
    </xdr:from>
    <xdr:to>
      <xdr:col>23</xdr:col>
      <xdr:colOff>525780</xdr:colOff>
      <xdr:row>57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5B54C6-FB9E-4BBB-94C2-621EB3CF9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0</xdr:row>
      <xdr:rowOff>22860</xdr:rowOff>
    </xdr:from>
    <xdr:to>
      <xdr:col>7</xdr:col>
      <xdr:colOff>99060</xdr:colOff>
      <xdr:row>10</xdr:row>
      <xdr:rowOff>160020</xdr:rowOff>
    </xdr:to>
    <xdr:graphicFrame macro="">
      <xdr:nvGraphicFramePr>
        <xdr:cNvPr id="235" name="Gráfico 5">
          <a:extLst>
            <a:ext uri="{FF2B5EF4-FFF2-40B4-BE49-F238E27FC236}">
              <a16:creationId xmlns:a16="http://schemas.microsoft.com/office/drawing/2014/main" id="{8166E061-BCB7-9430-BE68-4CD54C28F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571500</xdr:colOff>
      <xdr:row>5</xdr:row>
      <xdr:rowOff>8996</xdr:rowOff>
    </xdr:from>
    <xdr:to>
      <xdr:col>8</xdr:col>
      <xdr:colOff>2223248</xdr:colOff>
      <xdr:row>6</xdr:row>
      <xdr:rowOff>114300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63FB5B4B-7B36-4761-8238-37A04D07E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0" y="885296"/>
          <a:ext cx="2497568" cy="280564"/>
        </a:xfrm>
        <a:prstGeom prst="rect">
          <a:avLst/>
        </a:prstGeom>
      </xdr:spPr>
    </xdr:pic>
    <xdr:clientData/>
  </xdr:twoCellAnchor>
  <xdr:twoCellAnchor editAs="oneCell">
    <xdr:from>
      <xdr:col>5</xdr:col>
      <xdr:colOff>175260</xdr:colOff>
      <xdr:row>3</xdr:row>
      <xdr:rowOff>22860</xdr:rowOff>
    </xdr:from>
    <xdr:to>
      <xdr:col>6</xdr:col>
      <xdr:colOff>53339</xdr:colOff>
      <xdr:row>8</xdr:row>
      <xdr:rowOff>7619</xdr:rowOff>
    </xdr:to>
    <xdr:pic>
      <xdr:nvPicPr>
        <xdr:cNvPr id="236" name="Imagem 4">
          <a:extLst>
            <a:ext uri="{FF2B5EF4-FFF2-40B4-BE49-F238E27FC236}">
              <a16:creationId xmlns:a16="http://schemas.microsoft.com/office/drawing/2014/main" id="{4F89384C-AEF5-C698-C75C-5F2E7DA0B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6360" y="548640"/>
          <a:ext cx="861059" cy="8610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196216</xdr:rowOff>
    </xdr:from>
    <xdr:to>
      <xdr:col>2</xdr:col>
      <xdr:colOff>1015477</xdr:colOff>
      <xdr:row>0</xdr:row>
      <xdr:rowOff>436245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AA2DE0-97C4-4D35-BE94-A859A66D3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" y="196216"/>
          <a:ext cx="2179432" cy="2400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19</xdr:row>
      <xdr:rowOff>0</xdr:rowOff>
    </xdr:from>
    <xdr:to>
      <xdr:col>18</xdr:col>
      <xdr:colOff>167640</xdr:colOff>
      <xdr:row>33</xdr:row>
      <xdr:rowOff>91440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53E1DB8-1400-140B-F515-E2B1BB05C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3421380"/>
          <a:ext cx="4739640" cy="2545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1</xdr:row>
      <xdr:rowOff>160020</xdr:rowOff>
    </xdr:from>
    <xdr:to>
      <xdr:col>12</xdr:col>
      <xdr:colOff>320040</xdr:colOff>
      <xdr:row>17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588942-9AFD-5498-8F42-0E01AE9E4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196216</xdr:rowOff>
    </xdr:from>
    <xdr:to>
      <xdr:col>2</xdr:col>
      <xdr:colOff>1015477</xdr:colOff>
      <xdr:row>0</xdr:row>
      <xdr:rowOff>436245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234A16-792F-4867-8237-25AB60F93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" y="196216"/>
          <a:ext cx="2179432" cy="24002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bas de Magalhães Silva Junior" refreshedDate="45168.400680439816" createdVersion="8" refreshedVersion="8" minRefreshableVersion="3" recordCount="68" xr:uid="{6C64138E-3677-41D1-8B6F-B7EB1643E6BE}">
  <cacheSource type="worksheet">
    <worksheetSource ref="A1:E69" sheet="Folha2"/>
  </cacheSource>
  <cacheFields count="5">
    <cacheField name="NOME COMPLETO" numFmtId="0">
      <sharedItems/>
    </cacheField>
    <cacheField name="Data Nascimento" numFmtId="14">
      <sharedItems containsSemiMixedTypes="0" containsNonDate="0" containsDate="1" containsString="0" minDate="1974-02-23T00:00:00" maxDate="2000-08-30T00:00:00"/>
    </cacheField>
    <cacheField name="M/F" numFmtId="0">
      <sharedItems count="2">
        <s v="F"/>
        <s v="M"/>
      </sharedItems>
    </cacheField>
    <cacheField name="DATA ADMISSÃO" numFmtId="14">
      <sharedItems containsSemiMixedTypes="0" containsNonDate="0" containsDate="1" containsString="0" minDate="2023-01-03T00:00:00" maxDate="2023-08-25T00:00:00"/>
    </cacheField>
    <cacheField name="LOCAL DE TRAB." numFmtId="0">
      <sharedItems count="2">
        <s v="Obra"/>
        <s v="SE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Janaína Pedroza Damasceno"/>
    <d v="1992-10-27T00:00:00"/>
    <x v="0"/>
    <d v="2023-01-31T00:00:00"/>
    <x v="0"/>
  </r>
  <r>
    <s v="Silvia Maria da Silva"/>
    <d v="1974-05-06T00:00:00"/>
    <x v="0"/>
    <d v="2023-03-01T00:00:00"/>
    <x v="1"/>
  </r>
  <r>
    <s v="Brendo Henrique Lopes"/>
    <d v="1995-09-30T00:00:00"/>
    <x v="1"/>
    <d v="2023-03-29T00:00:00"/>
    <x v="1"/>
  </r>
  <r>
    <s v="Yasnaia De Souza Ferreira"/>
    <d v="1988-03-07T00:00:00"/>
    <x v="0"/>
    <d v="2023-04-12T00:00:00"/>
    <x v="0"/>
  </r>
  <r>
    <s v="Lennon Michael Moreira Santos"/>
    <d v="1993-04-18T00:00:00"/>
    <x v="1"/>
    <d v="2023-04-18T00:00:00"/>
    <x v="1"/>
  </r>
  <r>
    <s v="Guilherme De Assis Braga"/>
    <d v="2000-01-14T00:00:00"/>
    <x v="1"/>
    <d v="2023-04-25T00:00:00"/>
    <x v="0"/>
  </r>
  <r>
    <s v="Walter Da Cunha Mendes Neto"/>
    <d v="1990-10-04T00:00:00"/>
    <x v="1"/>
    <d v="2023-04-25T00:00:00"/>
    <x v="0"/>
  </r>
  <r>
    <s v="Pedro Henrique De Faria Teixeira"/>
    <d v="1992-05-27T00:00:00"/>
    <x v="1"/>
    <d v="2023-05-04T00:00:00"/>
    <x v="1"/>
  </r>
  <r>
    <s v="Carolline Sénem Lacerda Da Silva"/>
    <d v="1997-04-19T00:00:00"/>
    <x v="0"/>
    <d v="2023-05-29T00:00:00"/>
    <x v="0"/>
  </r>
  <r>
    <s v="Lucas Guimarães Oliveira"/>
    <d v="2000-08-29T00:00:00"/>
    <x v="1"/>
    <d v="2023-05-22T00:00:00"/>
    <x v="1"/>
  </r>
  <r>
    <s v="Cristiane Samara De Melo Lobo"/>
    <d v="1993-03-17T00:00:00"/>
    <x v="0"/>
    <d v="2023-06-12T00:00:00"/>
    <x v="0"/>
  </r>
  <r>
    <s v="Letícia Lorraine do Nascimento"/>
    <d v="1996-11-28T00:00:00"/>
    <x v="0"/>
    <d v="2023-07-04T00:00:00"/>
    <x v="0"/>
  </r>
  <r>
    <s v="Edijane Marques Rodrigues"/>
    <d v="1989-12-21T00:00:00"/>
    <x v="0"/>
    <d v="2023-07-18T00:00:00"/>
    <x v="1"/>
  </r>
  <r>
    <s v="Giovanna Maria Duarte Guimarães "/>
    <d v="1999-09-14T00:00:00"/>
    <x v="0"/>
    <d v="2023-07-25T00:00:00"/>
    <x v="1"/>
  </r>
  <r>
    <s v="Marcio Waldir Borges Mueller Junior"/>
    <d v="1993-08-27T00:00:00"/>
    <x v="1"/>
    <d v="2023-01-13T00:00:00"/>
    <x v="0"/>
  </r>
  <r>
    <s v="Gianne Francisco Dias"/>
    <d v="1978-07-18T00:00:00"/>
    <x v="1"/>
    <d v="2023-03-06T00:00:00"/>
    <x v="0"/>
  </r>
  <r>
    <s v="Ivan Verve Santos Silva"/>
    <d v="1993-04-10T00:00:00"/>
    <x v="1"/>
    <d v="2023-01-17T00:00:00"/>
    <x v="1"/>
  </r>
  <r>
    <s v="Bernardo Muzzi Melgaço"/>
    <d v="1990-09-19T00:00:00"/>
    <x v="1"/>
    <d v="2023-01-26T00:00:00"/>
    <x v="0"/>
  </r>
  <r>
    <s v="Yan Cauê da Silva"/>
    <d v="1990-08-24T00:00:00"/>
    <x v="1"/>
    <d v="2023-01-27T00:00:00"/>
    <x v="0"/>
  </r>
  <r>
    <s v="Luiz Fernando Brandão de Lima"/>
    <d v="1986-04-16T00:00:00"/>
    <x v="1"/>
    <d v="2023-01-30T00:00:00"/>
    <x v="0"/>
  </r>
  <r>
    <s v="Pedro Ivo Da Silva Batista Filho"/>
    <d v="1997-01-01T00:00:00"/>
    <x v="1"/>
    <d v="2023-01-03T00:00:00"/>
    <x v="0"/>
  </r>
  <r>
    <s v="Rodrigo Meireles Naves"/>
    <d v="1996-07-01T00:00:00"/>
    <x v="1"/>
    <d v="2023-02-02T00:00:00"/>
    <x v="0"/>
  </r>
  <r>
    <s v="Marcos Paulo De Andrade Dos Santos"/>
    <d v="1982-11-17T00:00:00"/>
    <x v="1"/>
    <d v="2023-01-17T00:00:00"/>
    <x v="0"/>
  </r>
  <r>
    <s v="Alexandre Rodrigues Rocha"/>
    <d v="1999-07-30T00:00:00"/>
    <x v="1"/>
    <d v="2023-03-08T00:00:00"/>
    <x v="1"/>
  </r>
  <r>
    <s v="Thiago Domingos Bonifácio"/>
    <d v="1986-04-13T00:00:00"/>
    <x v="1"/>
    <d v="2023-03-09T00:00:00"/>
    <x v="0"/>
  </r>
  <r>
    <s v="Hélio Claro De Oliveira Júnior"/>
    <d v="1977-10-01T00:00:00"/>
    <x v="1"/>
    <d v="2023-03-24T00:00:00"/>
    <x v="0"/>
  </r>
  <r>
    <s v="Ana Maria Pinheiro De Souza"/>
    <d v="1989-03-11T00:00:00"/>
    <x v="0"/>
    <d v="2023-05-12T00:00:00"/>
    <x v="1"/>
  </r>
  <r>
    <s v="Lucas Souza Braz"/>
    <d v="1994-01-28T00:00:00"/>
    <x v="1"/>
    <d v="2023-02-08T00:00:00"/>
    <x v="0"/>
  </r>
  <r>
    <s v="Julio Cesar Silva"/>
    <d v="1995-05-11T00:00:00"/>
    <x v="1"/>
    <d v="2023-02-07T00:00:00"/>
    <x v="0"/>
  </r>
  <r>
    <s v="Murilo Goulart Barbosa"/>
    <d v="1992-06-28T00:00:00"/>
    <x v="1"/>
    <d v="2023-02-16T00:00:00"/>
    <x v="0"/>
  </r>
  <r>
    <s v="Hudson Juan Machado Vilela"/>
    <d v="1994-04-11T00:00:00"/>
    <x v="1"/>
    <d v="2023-02-23T00:00:00"/>
    <x v="0"/>
  </r>
  <r>
    <s v="Adailton Lucas Galindo De Andrade"/>
    <d v="1994-06-20T00:00:00"/>
    <x v="1"/>
    <d v="2023-03-01T00:00:00"/>
    <x v="0"/>
  </r>
  <r>
    <s v="Ronaldo Mendes Machado"/>
    <d v="1981-04-13T00:00:00"/>
    <x v="1"/>
    <d v="2023-03-01T00:00:00"/>
    <x v="0"/>
  </r>
  <r>
    <s v="Matheus Pera"/>
    <d v="1992-02-02T00:00:00"/>
    <x v="1"/>
    <d v="2023-03-06T00:00:00"/>
    <x v="0"/>
  </r>
  <r>
    <s v="João Antônio Duque Bahia"/>
    <d v="1984-10-03T00:00:00"/>
    <x v="1"/>
    <d v="2023-03-06T00:00:00"/>
    <x v="0"/>
  </r>
  <r>
    <s v="Taynara Suelly Januario Gonçalves"/>
    <d v="1989-12-04T00:00:00"/>
    <x v="1"/>
    <d v="2023-03-09T00:00:00"/>
    <x v="0"/>
  </r>
  <r>
    <s v="Nilton De Sordi Netto"/>
    <d v="1986-11-18T00:00:00"/>
    <x v="1"/>
    <d v="2023-03-15T00:00:00"/>
    <x v="0"/>
  </r>
  <r>
    <s v="Yan Lucca De Almeida Moreira"/>
    <d v="1994-04-04T00:00:00"/>
    <x v="1"/>
    <d v="2023-03-16T00:00:00"/>
    <x v="0"/>
  </r>
  <r>
    <s v="Marina Botty Madalena"/>
    <d v="1992-12-02T00:00:00"/>
    <x v="0"/>
    <d v="2023-05-10T00:00:00"/>
    <x v="0"/>
  </r>
  <r>
    <s v="Ricardo Nikollas de Andrade Cavalcante"/>
    <d v="1985-09-20T00:00:00"/>
    <x v="1"/>
    <d v="2023-03-16T00:00:00"/>
    <x v="0"/>
  </r>
  <r>
    <s v="Felipe Gabriel Costanzi"/>
    <d v="1995-01-27T00:00:00"/>
    <x v="1"/>
    <d v="2023-03-21T00:00:00"/>
    <x v="0"/>
  </r>
  <r>
    <s v="Ana Rosa Domingues"/>
    <d v="1985-12-06T00:00:00"/>
    <x v="0"/>
    <d v="2023-03-20T00:00:00"/>
    <x v="1"/>
  </r>
  <r>
    <s v="Fabrícia Alvarenga Freire"/>
    <d v="1988-02-21T00:00:00"/>
    <x v="0"/>
    <d v="2023-03-21T00:00:00"/>
    <x v="0"/>
  </r>
  <r>
    <s v="Raimundo Filipinho Monteiro"/>
    <d v="1978-01-01T00:00:00"/>
    <x v="1"/>
    <d v="2023-05-16T00:00:00"/>
    <x v="0"/>
  </r>
  <r>
    <s v="Larissa Ferreira Alves"/>
    <d v="1996-04-27T00:00:00"/>
    <x v="0"/>
    <d v="2023-05-10T00:00:00"/>
    <x v="1"/>
  </r>
  <r>
    <s v="Handerson Neves Carvalho"/>
    <d v="1994-07-29T00:00:00"/>
    <x v="1"/>
    <d v="2023-03-27T00:00:00"/>
    <x v="0"/>
  </r>
  <r>
    <s v="Vinicius Dias Lopes"/>
    <d v="1992-02-11T00:00:00"/>
    <x v="1"/>
    <d v="2023-05-02T00:00:00"/>
    <x v="0"/>
  </r>
  <r>
    <s v="Filipe De Melo Santos"/>
    <d v="1989-08-25T00:00:00"/>
    <x v="1"/>
    <d v="2023-05-02T00:00:00"/>
    <x v="0"/>
  </r>
  <r>
    <s v="Monica Sousa Duarte"/>
    <d v="1991-09-12T00:00:00"/>
    <x v="0"/>
    <d v="2023-05-16T00:00:00"/>
    <x v="0"/>
  </r>
  <r>
    <s v="Giovane Lopes Dias"/>
    <d v="1974-02-23T00:00:00"/>
    <x v="1"/>
    <d v="2023-06-06T00:00:00"/>
    <x v="0"/>
  </r>
  <r>
    <s v="Rodolpho Guedes Fonseca"/>
    <d v="1991-11-23T00:00:00"/>
    <x v="1"/>
    <d v="2023-06-06T00:00:00"/>
    <x v="0"/>
  </r>
  <r>
    <s v="Gabriel De Andrade Abud"/>
    <d v="1996-10-17T00:00:00"/>
    <x v="1"/>
    <d v="2023-06-13T00:00:00"/>
    <x v="0"/>
  </r>
  <r>
    <s v="Carlos Rodrigo Tavares Da Cunha"/>
    <d v="1976-03-13T00:00:00"/>
    <x v="1"/>
    <d v="2023-06-26T00:00:00"/>
    <x v="0"/>
  </r>
  <r>
    <s v="Jarbas De Magalhaes Silva Junior"/>
    <d v="1985-08-05T00:00:00"/>
    <x v="1"/>
    <d v="2023-06-29T00:00:00"/>
    <x v="1"/>
  </r>
  <r>
    <s v="Thales Vinicius Vidal Coelho"/>
    <d v="1983-08-04T00:00:00"/>
    <x v="1"/>
    <d v="2023-07-03T00:00:00"/>
    <x v="0"/>
  </r>
  <r>
    <s v="Nilson Paulo de Oliveira"/>
    <d v="1975-06-20T00:00:00"/>
    <x v="1"/>
    <d v="2023-07-03T00:00:00"/>
    <x v="0"/>
  </r>
  <r>
    <s v="Andrey Luz Sousa"/>
    <d v="1998-06-29T00:00:00"/>
    <x v="1"/>
    <d v="2023-07-10T00:00:00"/>
    <x v="0"/>
  </r>
  <r>
    <s v="Daniel de Azevedo"/>
    <d v="1985-10-19T00:00:00"/>
    <x v="1"/>
    <d v="2023-07-24T00:00:00"/>
    <x v="1"/>
  </r>
  <r>
    <s v="Artur Vieira Januth"/>
    <d v="1999-04-20T00:00:00"/>
    <x v="1"/>
    <d v="2023-07-24T00:00:00"/>
    <x v="0"/>
  </r>
  <r>
    <s v="Lucas Lael da Silva Valim"/>
    <d v="1987-12-08T00:00:00"/>
    <x v="1"/>
    <d v="2023-07-24T00:00:00"/>
    <x v="1"/>
  </r>
  <r>
    <s v="Gilberto Santana Cardoso Junior"/>
    <d v="1988-04-21T00:00:00"/>
    <x v="1"/>
    <d v="2023-07-26T00:00:00"/>
    <x v="1"/>
  </r>
  <r>
    <s v="Dayane Helena De Mendonça"/>
    <d v="1996-08-02T00:00:00"/>
    <x v="0"/>
    <d v="2023-06-06T00:00:00"/>
    <x v="1"/>
  </r>
  <r>
    <s v="Joab Ramos Rodrigues"/>
    <d v="1996-06-05T00:00:00"/>
    <x v="1"/>
    <d v="2023-07-31T00:00:00"/>
    <x v="0"/>
  </r>
  <r>
    <s v="Paulo Sérgio da Silva Costa Junior"/>
    <d v="1991-02-23T00:00:00"/>
    <x v="1"/>
    <d v="2023-08-02T00:00:00"/>
    <x v="0"/>
  </r>
  <r>
    <s v="Angela Maria Lopes Campos"/>
    <d v="1982-06-27T00:00:00"/>
    <x v="0"/>
    <d v="2023-08-02T00:00:00"/>
    <x v="0"/>
  </r>
  <r>
    <s v="Samara Aparecida Fideles"/>
    <d v="1991-12-14T00:00:00"/>
    <x v="0"/>
    <d v="2023-08-10T00:00:00"/>
    <x v="0"/>
  </r>
  <r>
    <s v="Jeferson Expedito de Oliveira Silva"/>
    <d v="1994-02-08T00:00:00"/>
    <x v="1"/>
    <d v="2023-08-10T00:00:00"/>
    <x v="0"/>
  </r>
  <r>
    <s v="Gustavo Santos Souza"/>
    <d v="1993-03-17T00:00:00"/>
    <x v="1"/>
    <d v="2023-08-24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588AA-0449-41D9-B4BD-82E55C0FA91F}" name="Tabela Dinâmica1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A3:C7" firstHeaderRow="1" firstDataRow="1" firstDataCol="2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2"/>
  </rowFields>
  <rowItems count="4">
    <i>
      <x/>
      <x/>
    </i>
    <i r="1">
      <x v="1"/>
    </i>
    <i>
      <x v="1"/>
      <x/>
    </i>
    <i r="1">
      <x v="1"/>
    </i>
  </rowItems>
  <colItems count="1">
    <i/>
  </colItems>
  <dataFields count="1">
    <dataField name="Contagem de LOCAL DE TRAB.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5732-FFF2-4AE8-9C1E-399CCDE97866}">
  <dimension ref="C2:JT30"/>
  <sheetViews>
    <sheetView showGridLines="0" zoomScale="85" zoomScaleNormal="85" workbookViewId="0">
      <pane xSplit="4370" ySplit="1350" topLeftCell="BX1" activePane="bottomRight"/>
      <selection activeCell="C2" sqref="C2"/>
      <selection pane="topRight" activeCell="A12" sqref="A1:CX1048576"/>
      <selection pane="bottomLeft" activeCell="A13" sqref="A13"/>
      <selection pane="bottomRight" activeCell="BZ13" sqref="BZ13"/>
    </sheetView>
  </sheetViews>
  <sheetFormatPr defaultRowHeight="13"/>
  <cols>
    <col min="3" max="3" width="36.09765625" customWidth="1"/>
    <col min="4" max="4" width="13.296875" customWidth="1"/>
    <col min="5" max="5" width="15.69921875" style="1" customWidth="1"/>
    <col min="6" max="6" width="15.69921875" customWidth="1"/>
    <col min="7" max="7" width="15.69921875" style="1" customWidth="1"/>
    <col min="8" max="130" width="3.69921875" customWidth="1"/>
    <col min="131" max="280" width="3.69921875" hidden="1" customWidth="1"/>
  </cols>
  <sheetData>
    <row r="2" spans="3:280">
      <c r="C2" s="6" t="s">
        <v>18</v>
      </c>
      <c r="D2" s="6"/>
    </row>
    <row r="4" spans="3:280" s="6" customFormat="1">
      <c r="E4" s="10"/>
      <c r="G4" s="10"/>
      <c r="H4" s="156" t="s">
        <v>4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 t="s">
        <v>5</v>
      </c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 t="s">
        <v>6</v>
      </c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 t="s">
        <v>7</v>
      </c>
      <c r="CW4" s="156"/>
      <c r="CX4" s="156"/>
      <c r="CY4" s="156"/>
      <c r="CZ4" s="156"/>
      <c r="DA4" s="156"/>
      <c r="DB4" s="156"/>
      <c r="DC4" s="156"/>
      <c r="DD4" s="156"/>
      <c r="DE4" s="156"/>
      <c r="DF4" s="156"/>
      <c r="DG4" s="156"/>
      <c r="DH4" s="156"/>
      <c r="DI4" s="156"/>
      <c r="DJ4" s="156"/>
      <c r="DK4" s="156"/>
      <c r="DL4" s="156"/>
      <c r="DM4" s="156"/>
      <c r="DN4" s="156"/>
      <c r="DO4" s="156"/>
      <c r="DP4" s="156"/>
      <c r="DQ4" s="156"/>
      <c r="DR4" s="156"/>
      <c r="DS4" s="156"/>
      <c r="DT4" s="156"/>
      <c r="DU4" s="156"/>
      <c r="DV4" s="156"/>
      <c r="DW4" s="156"/>
      <c r="DX4" s="156"/>
      <c r="DY4" s="156"/>
      <c r="DZ4" s="156"/>
      <c r="EA4" s="156" t="s">
        <v>8</v>
      </c>
      <c r="EB4" s="156"/>
      <c r="EC4" s="156"/>
      <c r="ED4" s="156"/>
      <c r="EE4" s="156"/>
      <c r="EF4" s="156"/>
      <c r="EG4" s="156"/>
      <c r="EH4" s="156"/>
      <c r="EI4" s="156"/>
      <c r="EJ4" s="156"/>
      <c r="EK4" s="156"/>
      <c r="EL4" s="156"/>
      <c r="EM4" s="156"/>
      <c r="EN4" s="156"/>
      <c r="EO4" s="156"/>
      <c r="EP4" s="156"/>
      <c r="EQ4" s="156"/>
      <c r="ER4" s="156"/>
      <c r="ES4" s="156"/>
      <c r="ET4" s="156"/>
      <c r="EU4" s="156"/>
      <c r="EV4" s="156"/>
      <c r="EW4" s="156"/>
      <c r="EX4" s="156"/>
      <c r="EY4" s="156"/>
      <c r="EZ4" s="156"/>
      <c r="FA4" s="156"/>
      <c r="FB4" s="156"/>
      <c r="FC4" s="156" t="s">
        <v>10</v>
      </c>
      <c r="FD4" s="156"/>
      <c r="FE4" s="156"/>
      <c r="FF4" s="156"/>
      <c r="FG4" s="156"/>
      <c r="FH4" s="156"/>
      <c r="FI4" s="156"/>
      <c r="FJ4" s="156"/>
      <c r="FK4" s="156"/>
      <c r="FL4" s="156"/>
      <c r="FM4" s="156"/>
      <c r="FN4" s="156"/>
      <c r="FO4" s="156"/>
      <c r="FP4" s="156"/>
      <c r="FQ4" s="156"/>
      <c r="FR4" s="156"/>
      <c r="FS4" s="156"/>
      <c r="FT4" s="156"/>
      <c r="FU4" s="156"/>
      <c r="FV4" s="156"/>
      <c r="FW4" s="156"/>
      <c r="FX4" s="156"/>
      <c r="FY4" s="156"/>
      <c r="FZ4" s="156"/>
      <c r="GA4" s="156"/>
      <c r="GB4" s="156"/>
      <c r="GC4" s="156"/>
      <c r="GD4" s="156"/>
      <c r="GE4" s="156"/>
      <c r="GF4" s="156"/>
      <c r="GG4" s="156"/>
      <c r="GH4" s="156" t="s">
        <v>9</v>
      </c>
      <c r="GI4" s="156"/>
      <c r="GJ4" s="156"/>
      <c r="GK4" s="156"/>
      <c r="GL4" s="156"/>
      <c r="GM4" s="156"/>
      <c r="GN4" s="156"/>
      <c r="GO4" s="156"/>
      <c r="GP4" s="156"/>
      <c r="GQ4" s="156"/>
      <c r="GR4" s="156"/>
      <c r="GS4" s="156"/>
      <c r="GT4" s="156"/>
      <c r="GU4" s="156"/>
      <c r="GV4" s="156"/>
      <c r="GW4" s="156"/>
      <c r="GX4" s="156"/>
      <c r="GY4" s="156"/>
      <c r="GZ4" s="156"/>
      <c r="HA4" s="156"/>
      <c r="HB4" s="156"/>
      <c r="HC4" s="156"/>
      <c r="HD4" s="156"/>
      <c r="HE4" s="156"/>
      <c r="HF4" s="156"/>
      <c r="HG4" s="156"/>
      <c r="HH4" s="156"/>
      <c r="HI4" s="156"/>
      <c r="HJ4" s="156"/>
      <c r="HK4" s="156"/>
      <c r="HL4" s="156" t="s">
        <v>11</v>
      </c>
      <c r="HM4" s="156"/>
      <c r="HN4" s="156"/>
      <c r="HO4" s="156"/>
      <c r="HP4" s="156"/>
      <c r="HQ4" s="156"/>
      <c r="HR4" s="156"/>
      <c r="HS4" s="156"/>
      <c r="HT4" s="156"/>
      <c r="HU4" s="156"/>
      <c r="HV4" s="156"/>
      <c r="HW4" s="156"/>
      <c r="HX4" s="156"/>
      <c r="HY4" s="156"/>
      <c r="HZ4" s="156"/>
      <c r="IA4" s="156"/>
      <c r="IB4" s="156"/>
      <c r="IC4" s="156"/>
      <c r="ID4" s="156"/>
      <c r="IE4" s="156"/>
      <c r="IF4" s="156"/>
      <c r="IG4" s="156"/>
      <c r="IH4" s="156"/>
      <c r="II4" s="156"/>
      <c r="IJ4" s="156"/>
      <c r="IK4" s="156"/>
      <c r="IL4" s="156"/>
      <c r="IM4" s="156"/>
      <c r="IN4" s="156"/>
      <c r="IO4" s="156"/>
      <c r="IP4" s="156"/>
      <c r="IQ4" s="156" t="s">
        <v>19</v>
      </c>
      <c r="IR4" s="156"/>
      <c r="IS4" s="156"/>
      <c r="IT4" s="156"/>
      <c r="IU4" s="156"/>
      <c r="IV4" s="156"/>
      <c r="IW4" s="156"/>
      <c r="IX4" s="156"/>
      <c r="IY4" s="156"/>
      <c r="IZ4" s="156"/>
      <c r="JA4" s="156"/>
      <c r="JB4" s="156"/>
      <c r="JC4" s="156"/>
      <c r="JD4" s="156"/>
      <c r="JE4" s="156"/>
      <c r="JF4" s="156"/>
      <c r="JG4" s="156"/>
      <c r="JH4" s="156"/>
      <c r="JI4" s="156"/>
      <c r="JJ4" s="156"/>
      <c r="JK4" s="156"/>
      <c r="JL4" s="156"/>
      <c r="JM4" s="156"/>
      <c r="JN4" s="156"/>
      <c r="JO4" s="156"/>
      <c r="JP4" s="156"/>
      <c r="JQ4" s="156"/>
      <c r="JR4" s="156"/>
      <c r="JS4" s="156"/>
      <c r="JT4" s="156"/>
    </row>
    <row r="5" spans="3:280">
      <c r="D5" s="1" t="s">
        <v>38</v>
      </c>
      <c r="E5" s="1" t="s">
        <v>16</v>
      </c>
      <c r="F5" s="1" t="s">
        <v>15</v>
      </c>
      <c r="G5" s="1" t="s">
        <v>17</v>
      </c>
      <c r="H5" s="3">
        <v>44835</v>
      </c>
      <c r="I5" s="3">
        <v>44836</v>
      </c>
      <c r="J5" s="2">
        <v>44837</v>
      </c>
      <c r="K5" s="2">
        <v>44838</v>
      </c>
      <c r="L5" s="2">
        <v>44839</v>
      </c>
      <c r="M5" s="2">
        <v>44840</v>
      </c>
      <c r="N5" s="2">
        <v>44841</v>
      </c>
      <c r="O5" s="3">
        <v>44842</v>
      </c>
      <c r="P5" s="3">
        <v>44843</v>
      </c>
      <c r="Q5" s="2">
        <v>44844</v>
      </c>
      <c r="R5" s="2">
        <v>44845</v>
      </c>
      <c r="S5" s="2">
        <v>44846</v>
      </c>
      <c r="T5" s="2">
        <v>44847</v>
      </c>
      <c r="U5" s="2">
        <v>44848</v>
      </c>
      <c r="V5" s="3">
        <v>44849</v>
      </c>
      <c r="W5" s="3">
        <v>44850</v>
      </c>
      <c r="X5" s="2">
        <v>44851</v>
      </c>
      <c r="Y5" s="2">
        <v>44852</v>
      </c>
      <c r="Z5" s="2">
        <v>44853</v>
      </c>
      <c r="AA5" s="2">
        <v>44854</v>
      </c>
      <c r="AB5" s="2">
        <v>44855</v>
      </c>
      <c r="AC5" s="3">
        <v>44856</v>
      </c>
      <c r="AD5" s="3">
        <v>44857</v>
      </c>
      <c r="AE5" s="2">
        <v>44858</v>
      </c>
      <c r="AF5" s="2">
        <v>44859</v>
      </c>
      <c r="AG5" s="2">
        <v>44860</v>
      </c>
      <c r="AH5" s="2">
        <v>44861</v>
      </c>
      <c r="AI5" s="2">
        <v>44862</v>
      </c>
      <c r="AJ5" s="3">
        <v>44863</v>
      </c>
      <c r="AK5" s="3">
        <v>44864</v>
      </c>
      <c r="AL5" s="2">
        <v>44865</v>
      </c>
      <c r="AM5" s="2">
        <v>44866</v>
      </c>
      <c r="AN5" s="2">
        <v>44867</v>
      </c>
      <c r="AO5" s="2">
        <v>44868</v>
      </c>
      <c r="AP5" s="2">
        <v>44869</v>
      </c>
      <c r="AQ5" s="3">
        <v>44870</v>
      </c>
      <c r="AR5" s="3">
        <v>44871</v>
      </c>
      <c r="AS5" s="2">
        <v>44872</v>
      </c>
      <c r="AT5" s="2">
        <v>44873</v>
      </c>
      <c r="AU5" s="2">
        <v>44874</v>
      </c>
      <c r="AV5" s="2">
        <v>44875</v>
      </c>
      <c r="AW5" s="2">
        <v>44876</v>
      </c>
      <c r="AX5" s="3">
        <v>44877</v>
      </c>
      <c r="AY5" s="3">
        <v>44878</v>
      </c>
      <c r="AZ5" s="2">
        <v>44879</v>
      </c>
      <c r="BA5" s="2">
        <v>44880</v>
      </c>
      <c r="BB5" s="2">
        <v>44881</v>
      </c>
      <c r="BC5" s="2">
        <v>44882</v>
      </c>
      <c r="BD5" s="2">
        <v>44883</v>
      </c>
      <c r="BE5" s="3">
        <v>44884</v>
      </c>
      <c r="BF5" s="3">
        <v>44885</v>
      </c>
      <c r="BG5" s="2">
        <v>44886</v>
      </c>
      <c r="BH5" s="2">
        <v>44887</v>
      </c>
      <c r="BI5" s="2">
        <v>44888</v>
      </c>
      <c r="BJ5" s="2">
        <v>44889</v>
      </c>
      <c r="BK5" s="2">
        <v>44890</v>
      </c>
      <c r="BL5" s="3">
        <v>44891</v>
      </c>
      <c r="BM5" s="3">
        <v>44892</v>
      </c>
      <c r="BN5" s="2">
        <v>44893</v>
      </c>
      <c r="BO5" s="2">
        <v>44894</v>
      </c>
      <c r="BP5" s="2">
        <v>44895</v>
      </c>
      <c r="BQ5" s="2">
        <v>44896</v>
      </c>
      <c r="BR5" s="2">
        <v>44897</v>
      </c>
      <c r="BS5" s="3">
        <v>44898</v>
      </c>
      <c r="BT5" s="3">
        <v>44899</v>
      </c>
      <c r="BU5" s="2">
        <v>44900</v>
      </c>
      <c r="BV5" s="2">
        <v>44901</v>
      </c>
      <c r="BW5" s="2">
        <v>44902</v>
      </c>
      <c r="BX5" s="2">
        <v>44903</v>
      </c>
      <c r="BY5" s="2">
        <v>44904</v>
      </c>
      <c r="BZ5" s="3">
        <v>44905</v>
      </c>
      <c r="CA5" s="3">
        <v>44906</v>
      </c>
      <c r="CB5" s="2">
        <v>44907</v>
      </c>
      <c r="CC5" s="2">
        <v>44908</v>
      </c>
      <c r="CD5" s="2">
        <v>44909</v>
      </c>
      <c r="CE5" s="2">
        <v>44910</v>
      </c>
      <c r="CF5" s="2">
        <v>44911</v>
      </c>
      <c r="CG5" s="3">
        <v>44912</v>
      </c>
      <c r="CH5" s="3">
        <v>44913</v>
      </c>
      <c r="CI5" s="2">
        <v>44914</v>
      </c>
      <c r="CJ5" s="2">
        <v>44915</v>
      </c>
      <c r="CK5" s="2">
        <v>44916</v>
      </c>
      <c r="CL5" s="2">
        <v>44917</v>
      </c>
      <c r="CM5" s="2">
        <v>44918</v>
      </c>
      <c r="CN5" s="3">
        <v>44919</v>
      </c>
      <c r="CO5" s="3">
        <v>44920</v>
      </c>
      <c r="CP5" s="2">
        <v>44921</v>
      </c>
      <c r="CQ5" s="2">
        <v>44922</v>
      </c>
      <c r="CR5" s="2">
        <v>44923</v>
      </c>
      <c r="CS5" s="2">
        <v>44924</v>
      </c>
      <c r="CT5" s="2">
        <v>44925</v>
      </c>
      <c r="CU5" s="3">
        <v>44926</v>
      </c>
      <c r="CV5" s="3">
        <v>44927</v>
      </c>
      <c r="CW5" s="2">
        <v>44928</v>
      </c>
      <c r="CX5" s="2">
        <v>44929</v>
      </c>
      <c r="CY5" s="2">
        <v>44930</v>
      </c>
      <c r="CZ5" s="2">
        <v>44931</v>
      </c>
      <c r="DA5" s="2">
        <v>44932</v>
      </c>
      <c r="DB5" s="3">
        <v>44933</v>
      </c>
      <c r="DC5" s="3">
        <v>44934</v>
      </c>
      <c r="DD5" s="2">
        <v>44935</v>
      </c>
      <c r="DE5" s="2">
        <v>44936</v>
      </c>
      <c r="DF5" s="2">
        <v>44937</v>
      </c>
      <c r="DG5" s="2">
        <v>44938</v>
      </c>
      <c r="DH5" s="2">
        <v>44939</v>
      </c>
      <c r="DI5" s="3">
        <v>44940</v>
      </c>
      <c r="DJ5" s="3">
        <v>44941</v>
      </c>
      <c r="DK5" s="2">
        <v>44942</v>
      </c>
      <c r="DL5" s="2">
        <v>44943</v>
      </c>
      <c r="DM5" s="2">
        <v>44944</v>
      </c>
      <c r="DN5" s="2">
        <v>44945</v>
      </c>
      <c r="DO5" s="2">
        <v>44946</v>
      </c>
      <c r="DP5" s="3">
        <v>44947</v>
      </c>
      <c r="DQ5" s="3">
        <v>44948</v>
      </c>
      <c r="DR5" s="2">
        <v>44949</v>
      </c>
      <c r="DS5" s="2">
        <v>44950</v>
      </c>
      <c r="DT5" s="2">
        <v>44951</v>
      </c>
      <c r="DU5" s="2">
        <v>44952</v>
      </c>
      <c r="DV5" s="2">
        <v>44953</v>
      </c>
      <c r="DW5" s="3">
        <v>44954</v>
      </c>
      <c r="DX5" s="3">
        <v>44955</v>
      </c>
      <c r="DY5" s="2">
        <v>44956</v>
      </c>
      <c r="DZ5" s="2">
        <v>44957</v>
      </c>
      <c r="EA5" s="2">
        <v>44958</v>
      </c>
      <c r="EB5" s="2">
        <v>44959</v>
      </c>
      <c r="EC5" s="2">
        <v>44960</v>
      </c>
      <c r="ED5" s="3">
        <v>44961</v>
      </c>
      <c r="EE5" s="3">
        <v>44962</v>
      </c>
      <c r="EF5" s="2">
        <v>44963</v>
      </c>
      <c r="EG5" s="2">
        <v>44964</v>
      </c>
      <c r="EH5" s="2">
        <v>44965</v>
      </c>
      <c r="EI5" s="2">
        <v>44966</v>
      </c>
      <c r="EJ5" s="2">
        <v>44967</v>
      </c>
      <c r="EK5" s="3">
        <v>44968</v>
      </c>
      <c r="EL5" s="3">
        <v>44969</v>
      </c>
      <c r="EM5" s="2">
        <v>44970</v>
      </c>
      <c r="EN5" s="2">
        <v>44971</v>
      </c>
      <c r="EO5" s="2">
        <v>44972</v>
      </c>
      <c r="EP5" s="2">
        <v>44973</v>
      </c>
      <c r="EQ5" s="2">
        <v>44974</v>
      </c>
      <c r="ER5" s="3">
        <v>44975</v>
      </c>
      <c r="ES5" s="3">
        <v>44976</v>
      </c>
      <c r="ET5" s="2">
        <v>44977</v>
      </c>
      <c r="EU5" s="2">
        <v>44978</v>
      </c>
      <c r="EV5" s="2">
        <v>44979</v>
      </c>
      <c r="EW5" s="2">
        <v>44980</v>
      </c>
      <c r="EX5" s="2">
        <v>44981</v>
      </c>
      <c r="EY5" s="3">
        <v>44982</v>
      </c>
      <c r="EZ5" s="3">
        <v>44983</v>
      </c>
      <c r="FA5" s="2">
        <v>44984</v>
      </c>
      <c r="FB5" s="2">
        <v>44985</v>
      </c>
      <c r="FC5" s="2">
        <v>44986</v>
      </c>
      <c r="FD5" s="2">
        <v>44987</v>
      </c>
      <c r="FE5" s="2">
        <v>44988</v>
      </c>
      <c r="FF5" s="3">
        <v>44989</v>
      </c>
      <c r="FG5" s="3">
        <v>44990</v>
      </c>
      <c r="FH5" s="2">
        <v>44991</v>
      </c>
      <c r="FI5" s="2">
        <v>44992</v>
      </c>
      <c r="FJ5" s="2">
        <v>44993</v>
      </c>
      <c r="FK5" s="2">
        <v>44994</v>
      </c>
      <c r="FL5" s="2">
        <v>44995</v>
      </c>
      <c r="FM5" s="3">
        <v>44996</v>
      </c>
      <c r="FN5" s="3">
        <v>44997</v>
      </c>
      <c r="FO5" s="2">
        <v>44998</v>
      </c>
      <c r="FP5" s="2">
        <v>44999</v>
      </c>
      <c r="FQ5" s="3">
        <v>45000</v>
      </c>
      <c r="FR5" s="3">
        <v>45001</v>
      </c>
      <c r="FS5" s="2">
        <v>45002</v>
      </c>
      <c r="FT5" s="2">
        <v>45003</v>
      </c>
      <c r="FU5" s="2">
        <v>45004</v>
      </c>
      <c r="FV5" s="2">
        <v>45005</v>
      </c>
      <c r="FW5" s="2">
        <v>45006</v>
      </c>
      <c r="FX5" s="3">
        <v>45007</v>
      </c>
      <c r="FY5" s="3">
        <v>45008</v>
      </c>
      <c r="FZ5" s="2">
        <v>45009</v>
      </c>
      <c r="GA5" s="2">
        <v>45010</v>
      </c>
      <c r="GB5" s="2">
        <v>45011</v>
      </c>
      <c r="GC5" s="2">
        <v>45012</v>
      </c>
      <c r="GD5" s="2">
        <v>45013</v>
      </c>
      <c r="GE5" s="3">
        <v>45014</v>
      </c>
      <c r="GF5" s="3">
        <v>45015</v>
      </c>
      <c r="GG5" s="2">
        <v>45016</v>
      </c>
      <c r="GH5" s="2">
        <v>45017</v>
      </c>
      <c r="GI5" s="2">
        <v>45018</v>
      </c>
      <c r="GJ5" s="2">
        <v>45019</v>
      </c>
      <c r="GK5" s="2">
        <v>45020</v>
      </c>
      <c r="GL5" s="3">
        <v>45021</v>
      </c>
      <c r="GM5" s="3">
        <v>45022</v>
      </c>
      <c r="GN5" s="2">
        <v>45023</v>
      </c>
      <c r="GO5" s="2">
        <v>45024</v>
      </c>
      <c r="GP5" s="2">
        <v>45025</v>
      </c>
      <c r="GQ5" s="2">
        <v>45026</v>
      </c>
      <c r="GR5" s="2">
        <v>45027</v>
      </c>
      <c r="GS5" s="3">
        <v>45028</v>
      </c>
      <c r="GT5" s="3">
        <v>45029</v>
      </c>
      <c r="GU5" s="2">
        <v>45030</v>
      </c>
      <c r="GV5" s="2">
        <v>45031</v>
      </c>
      <c r="GW5" s="2">
        <v>45032</v>
      </c>
      <c r="GX5" s="2">
        <v>45033</v>
      </c>
      <c r="GY5" s="2">
        <v>45034</v>
      </c>
      <c r="GZ5" s="3">
        <v>45035</v>
      </c>
      <c r="HA5" s="3">
        <v>45036</v>
      </c>
      <c r="HB5" s="2">
        <v>45037</v>
      </c>
      <c r="HC5" s="2">
        <v>45038</v>
      </c>
      <c r="HD5" s="2">
        <v>45039</v>
      </c>
      <c r="HE5" s="2">
        <v>45040</v>
      </c>
      <c r="HF5" s="2">
        <v>45041</v>
      </c>
      <c r="HG5" s="3">
        <v>45042</v>
      </c>
      <c r="HH5" s="3">
        <v>45043</v>
      </c>
      <c r="HI5" s="2">
        <v>45044</v>
      </c>
      <c r="HJ5" s="2">
        <v>45045</v>
      </c>
      <c r="HK5" s="2">
        <v>45046</v>
      </c>
      <c r="HL5" s="2">
        <v>45047</v>
      </c>
      <c r="HM5" s="2">
        <v>45048</v>
      </c>
      <c r="HN5" s="3">
        <v>45049</v>
      </c>
      <c r="HO5" s="3">
        <v>45050</v>
      </c>
      <c r="HP5" s="2">
        <v>45051</v>
      </c>
      <c r="HQ5" s="2">
        <v>45052</v>
      </c>
      <c r="HR5" s="2">
        <v>45053</v>
      </c>
      <c r="HS5" s="2">
        <v>45054</v>
      </c>
      <c r="HT5" s="2">
        <v>45055</v>
      </c>
      <c r="HU5" s="3">
        <v>45056</v>
      </c>
      <c r="HV5" s="3">
        <v>45057</v>
      </c>
      <c r="HW5" s="2">
        <v>45058</v>
      </c>
      <c r="HX5" s="2">
        <v>45059</v>
      </c>
      <c r="HY5" s="2">
        <v>45060</v>
      </c>
      <c r="HZ5" s="2">
        <v>45061</v>
      </c>
      <c r="IA5" s="2">
        <v>45062</v>
      </c>
      <c r="IB5" s="3">
        <v>45063</v>
      </c>
      <c r="IC5" s="3">
        <v>45064</v>
      </c>
      <c r="ID5" s="2">
        <v>45065</v>
      </c>
      <c r="IE5" s="2">
        <v>45066</v>
      </c>
      <c r="IF5" s="2">
        <v>45067</v>
      </c>
      <c r="IG5" s="2">
        <v>45068</v>
      </c>
      <c r="IH5" s="2">
        <v>45069</v>
      </c>
      <c r="II5" s="3">
        <v>45070</v>
      </c>
      <c r="IJ5" s="3">
        <v>45071</v>
      </c>
      <c r="IK5" s="2">
        <v>45072</v>
      </c>
      <c r="IL5" s="2">
        <v>45073</v>
      </c>
      <c r="IM5" s="2">
        <v>45074</v>
      </c>
      <c r="IN5" s="2">
        <v>45075</v>
      </c>
      <c r="IO5" s="2">
        <v>45076</v>
      </c>
      <c r="IP5" s="3">
        <v>45077</v>
      </c>
      <c r="IQ5" s="3">
        <v>45078</v>
      </c>
      <c r="IR5" s="2">
        <v>45079</v>
      </c>
      <c r="IS5" s="2">
        <v>45080</v>
      </c>
      <c r="IT5" s="2">
        <v>45081</v>
      </c>
      <c r="IU5" s="2">
        <v>45082</v>
      </c>
      <c r="IV5" s="2">
        <v>45083</v>
      </c>
      <c r="IW5" s="3">
        <v>45084</v>
      </c>
      <c r="IX5" s="3">
        <v>45085</v>
      </c>
      <c r="IY5" s="2">
        <v>45086</v>
      </c>
      <c r="IZ5" s="2">
        <v>45087</v>
      </c>
      <c r="JA5" s="2">
        <v>45088</v>
      </c>
      <c r="JB5" s="2">
        <v>45089</v>
      </c>
      <c r="JC5" s="2">
        <v>45090</v>
      </c>
      <c r="JD5" s="3">
        <v>45091</v>
      </c>
      <c r="JE5" s="3">
        <v>45092</v>
      </c>
      <c r="JF5" s="2">
        <v>45093</v>
      </c>
      <c r="JG5" s="2">
        <v>45094</v>
      </c>
      <c r="JH5" s="2">
        <v>45095</v>
      </c>
      <c r="JI5" s="2">
        <v>45096</v>
      </c>
      <c r="JJ5" s="2">
        <v>45097</v>
      </c>
      <c r="JK5" s="3">
        <v>45098</v>
      </c>
      <c r="JL5" s="3">
        <v>45099</v>
      </c>
      <c r="JM5" s="2">
        <v>45100</v>
      </c>
      <c r="JN5" s="2">
        <v>45101</v>
      </c>
      <c r="JO5" s="2">
        <v>45102</v>
      </c>
      <c r="JP5" s="2">
        <v>45103</v>
      </c>
      <c r="JQ5" s="2">
        <v>45104</v>
      </c>
      <c r="JR5" s="3">
        <v>45105</v>
      </c>
      <c r="JS5" s="3">
        <v>45106</v>
      </c>
      <c r="JT5" s="2">
        <v>45107</v>
      </c>
    </row>
    <row r="6" spans="3:280" ht="15" customHeight="1">
      <c r="C6" s="4" t="s">
        <v>0</v>
      </c>
      <c r="D6" s="4" t="s">
        <v>39</v>
      </c>
      <c r="E6" s="11">
        <v>20</v>
      </c>
      <c r="F6" s="4"/>
      <c r="G6" s="11">
        <f>E6-F6</f>
        <v>20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5"/>
      <c r="CQ6" s="5"/>
      <c r="CR6" s="5"/>
      <c r="CS6" s="5"/>
      <c r="CT6" s="5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</row>
    <row r="7" spans="3:280" ht="15" customHeight="1">
      <c r="C7" s="4" t="s">
        <v>1</v>
      </c>
      <c r="D7" s="4" t="s">
        <v>39</v>
      </c>
      <c r="E7" s="11">
        <v>20</v>
      </c>
      <c r="F7" s="4"/>
      <c r="G7" s="11">
        <f t="shared" ref="G7:G30" si="0">E7-F7</f>
        <v>20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5"/>
      <c r="CX7" s="5"/>
      <c r="CY7" s="5"/>
      <c r="CZ7" s="5"/>
      <c r="DA7" s="5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</row>
    <row r="8" spans="3:280" ht="15" customHeight="1">
      <c r="C8" s="4" t="s">
        <v>2</v>
      </c>
      <c r="D8" s="4" t="s">
        <v>39</v>
      </c>
      <c r="E8" s="11">
        <v>20</v>
      </c>
      <c r="F8" s="4"/>
      <c r="G8" s="11">
        <f t="shared" si="0"/>
        <v>20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9">
        <v>1</v>
      </c>
      <c r="BC8" s="9">
        <v>1</v>
      </c>
      <c r="BD8" s="9">
        <v>1</v>
      </c>
      <c r="BE8" s="9">
        <v>1</v>
      </c>
      <c r="BF8" s="9">
        <v>1</v>
      </c>
      <c r="BG8" s="9">
        <v>1</v>
      </c>
      <c r="BH8" s="9">
        <v>1</v>
      </c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</row>
    <row r="9" spans="3:280" ht="15" customHeight="1">
      <c r="C9" s="4" t="s">
        <v>3</v>
      </c>
      <c r="D9" s="4" t="s">
        <v>40</v>
      </c>
      <c r="E9" s="11">
        <v>20</v>
      </c>
      <c r="F9" s="4"/>
      <c r="G9" s="11">
        <f t="shared" si="0"/>
        <v>20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</row>
    <row r="10" spans="3:280" ht="15" customHeight="1">
      <c r="C10" s="4" t="s">
        <v>12</v>
      </c>
      <c r="D10" s="4" t="s">
        <v>39</v>
      </c>
      <c r="E10" s="11">
        <v>20</v>
      </c>
      <c r="F10" s="4"/>
      <c r="G10" s="11">
        <f t="shared" si="0"/>
        <v>20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</row>
    <row r="11" spans="3:280" ht="15" customHeight="1">
      <c r="C11" s="4" t="s">
        <v>13</v>
      </c>
      <c r="D11" s="4" t="s">
        <v>41</v>
      </c>
      <c r="E11" s="11">
        <v>20</v>
      </c>
      <c r="F11" s="4"/>
      <c r="G11" s="11">
        <f t="shared" si="0"/>
        <v>20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5"/>
      <c r="CC11" s="5"/>
      <c r="CD11" s="5"/>
      <c r="CE11" s="5"/>
      <c r="CF11" s="5"/>
      <c r="CG11" s="7"/>
      <c r="CH11" s="7"/>
      <c r="CI11" s="5"/>
      <c r="CJ11" s="5"/>
      <c r="CK11" s="5"/>
      <c r="CL11" s="5"/>
      <c r="CM11" s="5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</row>
    <row r="12" spans="3:280" ht="15" customHeight="1">
      <c r="C12" s="4" t="s">
        <v>14</v>
      </c>
      <c r="D12" s="8" t="s">
        <v>42</v>
      </c>
      <c r="E12" s="11">
        <v>20</v>
      </c>
      <c r="F12" s="4"/>
      <c r="G12" s="11">
        <f t="shared" si="0"/>
        <v>20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</row>
    <row r="13" spans="3:280" ht="15" customHeight="1">
      <c r="C13" s="4" t="s">
        <v>20</v>
      </c>
      <c r="D13" s="4" t="s">
        <v>43</v>
      </c>
      <c r="E13" s="11">
        <v>20</v>
      </c>
      <c r="F13" s="4"/>
      <c r="G13" s="11">
        <f t="shared" si="0"/>
        <v>20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5"/>
      <c r="CQ13" s="5"/>
      <c r="CR13" s="5"/>
      <c r="CS13" s="5"/>
      <c r="CT13" s="5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</row>
    <row r="14" spans="3:280" ht="15" customHeight="1">
      <c r="C14" s="4" t="s">
        <v>21</v>
      </c>
      <c r="D14" s="4" t="s">
        <v>44</v>
      </c>
      <c r="E14" s="11">
        <v>20</v>
      </c>
      <c r="F14" s="4"/>
      <c r="G14" s="11">
        <f t="shared" si="0"/>
        <v>20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</row>
    <row r="15" spans="3:280" ht="15" customHeight="1">
      <c r="C15" s="4" t="s">
        <v>22</v>
      </c>
      <c r="D15" s="4" t="s">
        <v>40</v>
      </c>
      <c r="E15" s="11">
        <v>20</v>
      </c>
      <c r="F15" s="4"/>
      <c r="G15" s="11">
        <f t="shared" si="0"/>
        <v>20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</row>
    <row r="16" spans="3:280" ht="15" customHeight="1">
      <c r="C16" s="4" t="s">
        <v>23</v>
      </c>
      <c r="D16" s="4" t="s">
        <v>45</v>
      </c>
      <c r="E16" s="11">
        <v>20</v>
      </c>
      <c r="F16" s="4"/>
      <c r="G16" s="11">
        <f t="shared" si="0"/>
        <v>20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</row>
    <row r="17" spans="3:280" ht="15" customHeight="1">
      <c r="C17" s="4" t="s">
        <v>24</v>
      </c>
      <c r="D17" s="4" t="s">
        <v>46</v>
      </c>
      <c r="E17" s="11">
        <v>20</v>
      </c>
      <c r="F17" s="4"/>
      <c r="G17" s="11">
        <f t="shared" si="0"/>
        <v>20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</row>
    <row r="18" spans="3:280" ht="15" customHeight="1">
      <c r="C18" s="4" t="s">
        <v>25</v>
      </c>
      <c r="D18" s="4" t="s">
        <v>39</v>
      </c>
      <c r="E18" s="11">
        <v>20</v>
      </c>
      <c r="F18" s="4"/>
      <c r="G18" s="11">
        <f t="shared" si="0"/>
        <v>20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5"/>
      <c r="CX18" s="5"/>
      <c r="CY18" s="5"/>
      <c r="CZ18" s="5"/>
      <c r="DA18" s="5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</row>
    <row r="19" spans="3:280" ht="15" customHeight="1">
      <c r="C19" s="4" t="s">
        <v>26</v>
      </c>
      <c r="D19" s="4" t="s">
        <v>45</v>
      </c>
      <c r="E19" s="11">
        <v>20</v>
      </c>
      <c r="F19" s="4"/>
      <c r="G19" s="11">
        <f t="shared" si="0"/>
        <v>20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</row>
    <row r="20" spans="3:280" ht="15" customHeight="1">
      <c r="C20" s="4" t="s">
        <v>27</v>
      </c>
      <c r="D20" s="4" t="s">
        <v>40</v>
      </c>
      <c r="E20" s="11">
        <v>20</v>
      </c>
      <c r="F20" s="4"/>
      <c r="G20" s="11">
        <f t="shared" si="0"/>
        <v>20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</row>
    <row r="21" spans="3:280" ht="15" customHeight="1">
      <c r="C21" s="4" t="s">
        <v>28</v>
      </c>
      <c r="D21" s="4" t="s">
        <v>39</v>
      </c>
      <c r="E21" s="11">
        <v>20</v>
      </c>
      <c r="F21" s="4"/>
      <c r="G21" s="11">
        <f t="shared" si="0"/>
        <v>20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</row>
    <row r="22" spans="3:280" ht="15" customHeight="1">
      <c r="C22" s="4" t="s">
        <v>29</v>
      </c>
      <c r="D22" s="4" t="s">
        <v>39</v>
      </c>
      <c r="E22" s="11">
        <v>20</v>
      </c>
      <c r="F22" s="4"/>
      <c r="G22" s="11">
        <f t="shared" si="0"/>
        <v>20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</row>
    <row r="23" spans="3:280" ht="15" customHeight="1">
      <c r="C23" s="4" t="s">
        <v>30</v>
      </c>
      <c r="D23" s="4" t="s">
        <v>47</v>
      </c>
      <c r="E23" s="11">
        <v>20</v>
      </c>
      <c r="F23" s="4"/>
      <c r="G23" s="11">
        <f t="shared" si="0"/>
        <v>20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</row>
    <row r="24" spans="3:280" ht="15" customHeight="1">
      <c r="C24" s="4" t="s">
        <v>31</v>
      </c>
      <c r="D24" s="4" t="s">
        <v>43</v>
      </c>
      <c r="E24" s="11">
        <v>20</v>
      </c>
      <c r="F24" s="4"/>
      <c r="G24" s="11">
        <f t="shared" si="0"/>
        <v>20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5"/>
      <c r="CQ24" s="5"/>
      <c r="CR24" s="5"/>
      <c r="CS24" s="5"/>
      <c r="CT24" s="5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</row>
    <row r="25" spans="3:280" ht="15" customHeight="1">
      <c r="C25" s="4" t="s">
        <v>32</v>
      </c>
      <c r="D25" s="4" t="s">
        <v>47</v>
      </c>
      <c r="E25" s="11">
        <v>20</v>
      </c>
      <c r="F25" s="4"/>
      <c r="G25" s="11">
        <f t="shared" si="0"/>
        <v>20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</row>
    <row r="26" spans="3:280" ht="15" customHeight="1">
      <c r="C26" s="4" t="s">
        <v>33</v>
      </c>
      <c r="D26" s="4" t="s">
        <v>41</v>
      </c>
      <c r="E26" s="11">
        <v>20</v>
      </c>
      <c r="F26" s="4"/>
      <c r="G26" s="11">
        <f t="shared" si="0"/>
        <v>20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</row>
    <row r="27" spans="3:280" ht="15" customHeight="1">
      <c r="C27" s="4" t="s">
        <v>34</v>
      </c>
      <c r="D27" s="4" t="s">
        <v>45</v>
      </c>
      <c r="E27" s="11">
        <v>20</v>
      </c>
      <c r="F27" s="4"/>
      <c r="G27" s="11">
        <f t="shared" si="0"/>
        <v>20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</row>
    <row r="28" spans="3:280" ht="15" customHeight="1">
      <c r="C28" s="4" t="s">
        <v>35</v>
      </c>
      <c r="D28" s="4" t="s">
        <v>39</v>
      </c>
      <c r="E28" s="11">
        <v>20</v>
      </c>
      <c r="F28" s="4"/>
      <c r="G28" s="11">
        <f t="shared" si="0"/>
        <v>20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</row>
    <row r="29" spans="3:280" ht="15" customHeight="1">
      <c r="C29" s="4" t="s">
        <v>36</v>
      </c>
      <c r="D29" s="4" t="s">
        <v>44</v>
      </c>
      <c r="E29" s="11">
        <v>20</v>
      </c>
      <c r="F29" s="4"/>
      <c r="G29" s="11">
        <f t="shared" si="0"/>
        <v>20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</row>
    <row r="30" spans="3:280" ht="15" customHeight="1">
      <c r="C30" s="4" t="s">
        <v>37</v>
      </c>
      <c r="D30" s="4" t="s">
        <v>40</v>
      </c>
      <c r="E30" s="11">
        <v>20</v>
      </c>
      <c r="F30" s="4"/>
      <c r="G30" s="11">
        <f t="shared" si="0"/>
        <v>20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</row>
  </sheetData>
  <mergeCells count="9">
    <mergeCell ref="IQ4:JT4"/>
    <mergeCell ref="H4:AL4"/>
    <mergeCell ref="AM4:BP4"/>
    <mergeCell ref="BQ4:CU4"/>
    <mergeCell ref="CV4:DZ4"/>
    <mergeCell ref="EA4:FB4"/>
    <mergeCell ref="FC4:GG4"/>
    <mergeCell ref="GH4:HK4"/>
    <mergeCell ref="HL4:IP4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BCE3-F1C6-40AF-9B33-57108C558D8E}">
  <dimension ref="A1:W54"/>
  <sheetViews>
    <sheetView tabSelected="1" zoomScale="70" zoomScaleNormal="70" workbookViewId="0">
      <pane xSplit="3" ySplit="3" topLeftCell="F4" activePane="bottomRight" state="frozen"/>
      <selection pane="topRight" activeCell="E1" sqref="E1"/>
      <selection pane="bottomLeft" activeCell="A4" sqref="A4"/>
      <selection pane="bottomRight"/>
    </sheetView>
  </sheetViews>
  <sheetFormatPr defaultRowHeight="13"/>
  <cols>
    <col min="1" max="1" width="6.8984375" customWidth="1"/>
    <col min="2" max="2" width="13.3984375" customWidth="1"/>
    <col min="3" max="3" width="28.296875" customWidth="1"/>
    <col min="4" max="4" width="11" customWidth="1"/>
    <col min="5" max="5" width="10.8984375" customWidth="1"/>
    <col min="6" max="6" width="9.3984375" customWidth="1"/>
    <col min="7" max="7" width="12.3984375" hidden="1" customWidth="1"/>
    <col min="8" max="8" width="14.09765625" hidden="1" customWidth="1"/>
    <col min="9" max="9" width="7.3984375" hidden="1" customWidth="1"/>
    <col min="10" max="10" width="10.3984375" hidden="1" customWidth="1"/>
    <col min="11" max="11" width="14.69921875" style="62" hidden="1" customWidth="1"/>
    <col min="12" max="12" width="14.69921875" style="62" customWidth="1"/>
    <col min="13" max="13" width="14.59765625" hidden="1" customWidth="1"/>
    <col min="14" max="14" width="3.296875" customWidth="1"/>
    <col min="15" max="15" width="6.59765625" style="12" bestFit="1" customWidth="1"/>
    <col min="16" max="16" width="8.296875" hidden="1" customWidth="1"/>
    <col min="17" max="17" width="27.3984375" hidden="1" customWidth="1"/>
    <col min="18" max="18" width="18.69921875" hidden="1" customWidth="1"/>
    <col min="19" max="19" width="9.09765625" hidden="1" customWidth="1"/>
    <col min="20" max="20" width="11.8984375" hidden="1" customWidth="1"/>
    <col min="21" max="21" width="14" hidden="1" customWidth="1"/>
    <col min="22" max="22" width="0" hidden="1" customWidth="1"/>
    <col min="23" max="23" width="12.69921875" hidden="1" customWidth="1"/>
    <col min="24" max="27" width="0" hidden="1" customWidth="1"/>
  </cols>
  <sheetData>
    <row r="1" spans="1:18" ht="38.4" customHeight="1">
      <c r="A1" s="77" t="s">
        <v>49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O1"/>
      <c r="P1" s="12"/>
    </row>
    <row r="2" spans="1:18" ht="21.65" customHeight="1">
      <c r="A2" s="76" t="s">
        <v>50</v>
      </c>
      <c r="B2" s="76" t="s">
        <v>67</v>
      </c>
      <c r="C2" s="75" t="s">
        <v>63</v>
      </c>
      <c r="D2" s="75" t="s">
        <v>51</v>
      </c>
      <c r="E2" s="75" t="s">
        <v>60</v>
      </c>
      <c r="F2" s="75" t="s">
        <v>68</v>
      </c>
      <c r="G2" s="75" t="s">
        <v>69</v>
      </c>
      <c r="H2" s="75" t="s">
        <v>70</v>
      </c>
      <c r="I2" s="75" t="s">
        <v>71</v>
      </c>
      <c r="J2" s="79" t="s">
        <v>130</v>
      </c>
      <c r="K2" s="80" t="s">
        <v>131</v>
      </c>
      <c r="L2" s="80" t="s">
        <v>132</v>
      </c>
      <c r="M2" s="78" t="s">
        <v>133</v>
      </c>
      <c r="N2" s="154"/>
      <c r="O2"/>
      <c r="P2" s="155"/>
    </row>
    <row r="3" spans="1:18" ht="15" customHeight="1">
      <c r="A3" s="58"/>
      <c r="B3" s="58"/>
      <c r="C3" s="57"/>
      <c r="D3" s="57"/>
      <c r="E3" s="57"/>
      <c r="F3" s="57"/>
      <c r="G3" s="57"/>
      <c r="H3" s="57"/>
      <c r="I3" s="57"/>
      <c r="J3" s="60"/>
      <c r="K3" s="65"/>
      <c r="L3" s="65"/>
      <c r="M3" s="59"/>
      <c r="N3" s="154"/>
      <c r="O3"/>
      <c r="P3" s="155"/>
      <c r="Q3" s="22" t="s">
        <v>72</v>
      </c>
      <c r="R3" s="22" t="s">
        <v>48</v>
      </c>
    </row>
    <row r="4" spans="1:18" ht="15.5">
      <c r="A4" s="14">
        <v>1</v>
      </c>
      <c r="B4" s="17" t="s">
        <v>64</v>
      </c>
      <c r="C4" s="17" t="s">
        <v>61</v>
      </c>
      <c r="D4" s="17" t="s">
        <v>52</v>
      </c>
      <c r="E4" s="18" t="s">
        <v>55</v>
      </c>
      <c r="F4" s="19">
        <v>1</v>
      </c>
      <c r="G4" s="16"/>
      <c r="H4" s="16"/>
      <c r="I4" s="13">
        <f t="shared" ref="I4:I17" si="0">F4</f>
        <v>1</v>
      </c>
      <c r="J4" s="56"/>
      <c r="K4" s="61"/>
      <c r="L4" s="68"/>
      <c r="M4" s="67">
        <f>L4*J4</f>
        <v>0</v>
      </c>
      <c r="N4" s="14"/>
      <c r="O4" s="50"/>
      <c r="P4" s="15"/>
      <c r="Q4" s="16" t="s">
        <v>127</v>
      </c>
      <c r="R4" s="16" t="e">
        <f>SUMIF(#REF!,"Sede",F4:F194)</f>
        <v>#REF!</v>
      </c>
    </row>
    <row r="5" spans="1:18" ht="15.5">
      <c r="A5" s="14">
        <v>2</v>
      </c>
      <c r="B5" s="17" t="s">
        <v>64</v>
      </c>
      <c r="C5" s="17" t="s">
        <v>61</v>
      </c>
      <c r="D5" s="17" t="s">
        <v>52</v>
      </c>
      <c r="E5" s="18" t="s">
        <v>56</v>
      </c>
      <c r="F5" s="19">
        <v>1</v>
      </c>
      <c r="G5" s="16"/>
      <c r="H5" s="16"/>
      <c r="I5" s="21">
        <f t="shared" si="0"/>
        <v>1</v>
      </c>
      <c r="J5" s="56"/>
      <c r="K5" s="61"/>
      <c r="L5" s="68"/>
      <c r="M5" s="67">
        <f t="shared" ref="M5:M9" si="1">L5*J5</f>
        <v>0</v>
      </c>
      <c r="N5" s="14"/>
      <c r="O5"/>
      <c r="P5" s="15"/>
      <c r="Q5" s="16" t="s">
        <v>65</v>
      </c>
      <c r="R5" s="16" t="e">
        <f>SUMIF(#REF!,"Coordenação",F4:F43)</f>
        <v>#REF!</v>
      </c>
    </row>
    <row r="6" spans="1:18" ht="15.5">
      <c r="A6" s="14">
        <v>3</v>
      </c>
      <c r="B6" s="17" t="s">
        <v>64</v>
      </c>
      <c r="C6" s="17" t="s">
        <v>61</v>
      </c>
      <c r="D6" s="17" t="s">
        <v>52</v>
      </c>
      <c r="E6" s="18" t="s">
        <v>57</v>
      </c>
      <c r="F6" s="19">
        <v>7</v>
      </c>
      <c r="G6" s="16"/>
      <c r="H6" s="16"/>
      <c r="I6" s="13">
        <f t="shared" si="0"/>
        <v>7</v>
      </c>
      <c r="J6" s="56"/>
      <c r="K6" s="61"/>
      <c r="L6" s="68"/>
      <c r="M6" s="67">
        <f t="shared" si="1"/>
        <v>0</v>
      </c>
      <c r="N6" s="14"/>
      <c r="O6"/>
      <c r="P6" s="15"/>
      <c r="Q6" s="16" t="s">
        <v>66</v>
      </c>
      <c r="R6" s="16" t="e">
        <f>SUMIF(#REF!,"Obra",F4:F43)</f>
        <v>#REF!</v>
      </c>
    </row>
    <row r="7" spans="1:18" ht="15.5">
      <c r="A7" s="14">
        <v>4</v>
      </c>
      <c r="B7" s="17" t="s">
        <v>64</v>
      </c>
      <c r="C7" s="17" t="s">
        <v>61</v>
      </c>
      <c r="D7" s="17" t="s">
        <v>52</v>
      </c>
      <c r="E7" s="18" t="s">
        <v>58</v>
      </c>
      <c r="F7" s="19">
        <v>28</v>
      </c>
      <c r="G7" s="16"/>
      <c r="H7" s="16"/>
      <c r="I7" s="13">
        <f t="shared" si="0"/>
        <v>28</v>
      </c>
      <c r="J7" s="56"/>
      <c r="K7" s="61"/>
      <c r="L7" s="68"/>
      <c r="M7" s="67">
        <f t="shared" si="1"/>
        <v>0</v>
      </c>
      <c r="N7" s="14"/>
      <c r="O7"/>
      <c r="P7" s="15"/>
    </row>
    <row r="8" spans="1:18" ht="15.5">
      <c r="A8" s="14">
        <v>5</v>
      </c>
      <c r="B8" s="17" t="s">
        <v>64</v>
      </c>
      <c r="C8" s="17" t="s">
        <v>61</v>
      </c>
      <c r="D8" s="17" t="s">
        <v>52</v>
      </c>
      <c r="E8" s="18" t="s">
        <v>59</v>
      </c>
      <c r="F8" s="19">
        <v>19</v>
      </c>
      <c r="G8" s="16"/>
      <c r="H8" s="16"/>
      <c r="I8" s="13">
        <f t="shared" si="0"/>
        <v>19</v>
      </c>
      <c r="J8" s="56"/>
      <c r="K8" s="61"/>
      <c r="L8" s="68"/>
      <c r="M8" s="67">
        <f t="shared" si="1"/>
        <v>0</v>
      </c>
      <c r="N8" s="14"/>
      <c r="O8"/>
      <c r="P8" s="15"/>
      <c r="Q8" s="23" t="s">
        <v>73</v>
      </c>
      <c r="R8" s="23" t="s">
        <v>48</v>
      </c>
    </row>
    <row r="9" spans="1:18" ht="15.5">
      <c r="A9" s="14">
        <v>6</v>
      </c>
      <c r="B9" s="17" t="s">
        <v>64</v>
      </c>
      <c r="C9" s="17" t="s">
        <v>61</v>
      </c>
      <c r="D9" s="17" t="s">
        <v>52</v>
      </c>
      <c r="E9" s="45" t="s">
        <v>126</v>
      </c>
      <c r="F9" s="19">
        <v>17</v>
      </c>
      <c r="G9" s="16"/>
      <c r="H9" s="16"/>
      <c r="I9" s="13">
        <f t="shared" si="0"/>
        <v>17</v>
      </c>
      <c r="J9" s="56"/>
      <c r="K9" s="61"/>
      <c r="L9" s="68"/>
      <c r="M9" s="67">
        <f t="shared" si="1"/>
        <v>0</v>
      </c>
      <c r="N9" s="14"/>
      <c r="O9"/>
      <c r="P9" s="15"/>
      <c r="Q9" s="23"/>
      <c r="R9" s="23"/>
    </row>
    <row r="10" spans="1:18" ht="15.5">
      <c r="A10" s="14">
        <v>12</v>
      </c>
      <c r="B10" s="17" t="s">
        <v>66</v>
      </c>
      <c r="C10" s="46" t="s">
        <v>128</v>
      </c>
      <c r="D10" s="46" t="s">
        <v>52</v>
      </c>
      <c r="E10" s="18" t="s">
        <v>55</v>
      </c>
      <c r="F10" s="20">
        <v>18</v>
      </c>
      <c r="G10" s="16"/>
      <c r="H10" s="16"/>
      <c r="I10" s="13">
        <f t="shared" si="0"/>
        <v>18</v>
      </c>
      <c r="J10" s="56"/>
      <c r="K10" s="61"/>
      <c r="L10" s="69"/>
      <c r="M10" s="67">
        <f t="shared" ref="M10:M24" si="2">L10*J10</f>
        <v>0</v>
      </c>
      <c r="N10" s="14"/>
      <c r="O10"/>
      <c r="P10" s="15"/>
      <c r="Q10" s="16" t="s">
        <v>61</v>
      </c>
      <c r="R10" s="16">
        <f ca="1">SUMIF(C4:C135,"Camisa Polo",F4:F43)</f>
        <v>112</v>
      </c>
    </row>
    <row r="11" spans="1:18" ht="15.5">
      <c r="A11" s="14">
        <v>13</v>
      </c>
      <c r="B11" s="17" t="s">
        <v>66</v>
      </c>
      <c r="C11" s="46" t="s">
        <v>128</v>
      </c>
      <c r="D11" s="17" t="s">
        <v>52</v>
      </c>
      <c r="E11" s="18" t="s">
        <v>56</v>
      </c>
      <c r="F11" s="20">
        <v>0</v>
      </c>
      <c r="G11" s="16"/>
      <c r="H11" s="16"/>
      <c r="I11" s="13">
        <f t="shared" si="0"/>
        <v>0</v>
      </c>
      <c r="J11" s="56"/>
      <c r="K11" s="61"/>
      <c r="L11" s="69"/>
      <c r="M11" s="67">
        <f t="shared" si="2"/>
        <v>0</v>
      </c>
      <c r="N11" s="14"/>
      <c r="O11"/>
      <c r="P11" s="15"/>
      <c r="Q11" s="49" t="s">
        <v>62</v>
      </c>
      <c r="R11" s="49">
        <f>SUMIF(C4:C43,"Camisa Social Branca",F4:F43)</f>
        <v>0</v>
      </c>
    </row>
    <row r="12" spans="1:18" ht="15.5">
      <c r="A12" s="14">
        <v>14</v>
      </c>
      <c r="B12" s="17" t="s">
        <v>66</v>
      </c>
      <c r="C12" s="152" t="s">
        <v>128</v>
      </c>
      <c r="D12" s="51" t="s">
        <v>52</v>
      </c>
      <c r="E12" s="18" t="s">
        <v>57</v>
      </c>
      <c r="F12" s="20">
        <v>2</v>
      </c>
      <c r="G12" s="16"/>
      <c r="H12" s="16"/>
      <c r="I12" s="13">
        <f t="shared" si="0"/>
        <v>2</v>
      </c>
      <c r="J12" s="56"/>
      <c r="K12" s="61"/>
      <c r="L12" s="69"/>
      <c r="M12" s="67">
        <f t="shared" si="2"/>
        <v>0</v>
      </c>
      <c r="N12" s="14"/>
      <c r="O12"/>
      <c r="P12" s="15"/>
      <c r="Q12" s="16" t="s">
        <v>128</v>
      </c>
      <c r="R12" s="16">
        <f>SUMIF(C4:C43,"Camisa Social Azul com Faixa",F4:F43)</f>
        <v>163</v>
      </c>
    </row>
    <row r="13" spans="1:18" ht="15.5">
      <c r="A13" s="14">
        <v>15</v>
      </c>
      <c r="B13" s="17" t="s">
        <v>66</v>
      </c>
      <c r="C13" s="46" t="s">
        <v>128</v>
      </c>
      <c r="D13" s="17" t="s">
        <v>52</v>
      </c>
      <c r="E13" s="18" t="s">
        <v>58</v>
      </c>
      <c r="F13" s="20">
        <v>17</v>
      </c>
      <c r="G13" s="16"/>
      <c r="H13" s="16"/>
      <c r="I13" s="13">
        <f t="shared" si="0"/>
        <v>17</v>
      </c>
      <c r="J13" s="56"/>
      <c r="K13" s="61"/>
      <c r="L13" s="69"/>
      <c r="M13" s="67">
        <f t="shared" si="2"/>
        <v>0</v>
      </c>
      <c r="N13" s="14"/>
      <c r="O13"/>
      <c r="P13" s="15"/>
      <c r="Q13" s="16" t="s">
        <v>129</v>
      </c>
      <c r="R13" s="16">
        <f>SUMIF(C4:C43,"Camisa Social Azul sem Faixa",F4:F43)</f>
        <v>5</v>
      </c>
    </row>
    <row r="14" spans="1:18" ht="15.5">
      <c r="A14" s="14">
        <v>16</v>
      </c>
      <c r="B14" s="17" t="s">
        <v>66</v>
      </c>
      <c r="C14" s="46" t="s">
        <v>128</v>
      </c>
      <c r="D14" s="17" t="s">
        <v>52</v>
      </c>
      <c r="E14" s="18" t="s">
        <v>59</v>
      </c>
      <c r="F14" s="20">
        <v>10</v>
      </c>
      <c r="G14" s="16"/>
      <c r="H14" s="16"/>
      <c r="I14" s="13">
        <f t="shared" si="0"/>
        <v>10</v>
      </c>
      <c r="J14" s="56"/>
      <c r="K14" s="61"/>
      <c r="L14" s="69"/>
      <c r="M14" s="67">
        <f t="shared" si="2"/>
        <v>0</v>
      </c>
      <c r="N14" s="14"/>
      <c r="O14"/>
      <c r="P14" s="15"/>
      <c r="Q14" s="16" t="s">
        <v>134</v>
      </c>
      <c r="R14" s="16">
        <f>SUMIF(C5:C43,"Camisa Frio",F5:F43)</f>
        <v>0</v>
      </c>
    </row>
    <row r="15" spans="1:18" ht="15.5">
      <c r="A15" s="14"/>
      <c r="B15" s="46" t="s">
        <v>66</v>
      </c>
      <c r="C15" s="46" t="s">
        <v>128</v>
      </c>
      <c r="D15" s="17" t="s">
        <v>52</v>
      </c>
      <c r="E15" s="47" t="s">
        <v>126</v>
      </c>
      <c r="F15" s="20">
        <v>8</v>
      </c>
      <c r="G15" s="16"/>
      <c r="H15" s="16"/>
      <c r="I15" s="13">
        <f t="shared" si="0"/>
        <v>8</v>
      </c>
      <c r="J15" s="56"/>
      <c r="K15" s="61"/>
      <c r="L15" s="69"/>
      <c r="M15" s="67">
        <f t="shared" si="2"/>
        <v>0</v>
      </c>
      <c r="N15" s="14"/>
      <c r="O15"/>
      <c r="P15" s="15"/>
    </row>
    <row r="16" spans="1:18" ht="15.5">
      <c r="A16" s="14">
        <v>17</v>
      </c>
      <c r="B16" s="17" t="s">
        <v>65</v>
      </c>
      <c r="C16" s="46" t="s">
        <v>129</v>
      </c>
      <c r="D16" s="17" t="s">
        <v>52</v>
      </c>
      <c r="E16" s="19" t="s">
        <v>55</v>
      </c>
      <c r="F16" s="20">
        <v>5</v>
      </c>
      <c r="G16" s="16"/>
      <c r="H16" s="16"/>
      <c r="I16" s="13">
        <f t="shared" si="0"/>
        <v>5</v>
      </c>
      <c r="J16" s="56"/>
      <c r="K16" s="61"/>
      <c r="L16" s="70"/>
      <c r="M16" s="67">
        <f t="shared" si="2"/>
        <v>0</v>
      </c>
      <c r="N16" s="14"/>
      <c r="O16"/>
      <c r="P16" s="15"/>
    </row>
    <row r="17" spans="1:16" ht="15.5">
      <c r="A17" s="14"/>
      <c r="B17" s="51" t="s">
        <v>65</v>
      </c>
      <c r="C17" s="51" t="s">
        <v>129</v>
      </c>
      <c r="D17" s="17" t="s">
        <v>52</v>
      </c>
      <c r="E17" s="52" t="s">
        <v>56</v>
      </c>
      <c r="F17" s="20">
        <v>0</v>
      </c>
      <c r="G17" s="16"/>
      <c r="H17" s="16"/>
      <c r="I17" s="13">
        <f t="shared" si="0"/>
        <v>0</v>
      </c>
      <c r="J17" s="56"/>
      <c r="K17" s="61"/>
      <c r="L17" s="70"/>
      <c r="M17" s="67">
        <f t="shared" si="2"/>
        <v>0</v>
      </c>
      <c r="N17" s="14"/>
      <c r="O17"/>
      <c r="P17" s="15"/>
    </row>
    <row r="18" spans="1:16" ht="15.5">
      <c r="A18" s="14">
        <v>18</v>
      </c>
      <c r="B18" s="17" t="s">
        <v>65</v>
      </c>
      <c r="C18" s="46" t="s">
        <v>129</v>
      </c>
      <c r="D18" s="17" t="s">
        <v>52</v>
      </c>
      <c r="E18" s="24" t="s">
        <v>57</v>
      </c>
      <c r="F18" s="20">
        <v>0</v>
      </c>
      <c r="G18" s="16"/>
      <c r="H18" s="16"/>
      <c r="I18" s="13">
        <f t="shared" ref="I18:I43" si="3">F18</f>
        <v>0</v>
      </c>
      <c r="J18" s="56"/>
      <c r="K18" s="61"/>
      <c r="L18" s="70"/>
      <c r="M18" s="67">
        <f t="shared" si="2"/>
        <v>0</v>
      </c>
      <c r="N18" s="14"/>
      <c r="O18"/>
      <c r="P18" s="15"/>
    </row>
    <row r="19" spans="1:16" ht="15.5">
      <c r="A19" s="14">
        <v>19</v>
      </c>
      <c r="B19" s="17" t="s">
        <v>64</v>
      </c>
      <c r="C19" s="17" t="s">
        <v>61</v>
      </c>
      <c r="D19" s="17" t="s">
        <v>53</v>
      </c>
      <c r="E19" s="18" t="s">
        <v>55</v>
      </c>
      <c r="F19" s="20">
        <v>1</v>
      </c>
      <c r="G19" s="16"/>
      <c r="H19" s="16"/>
      <c r="I19" s="13">
        <f t="shared" si="3"/>
        <v>1</v>
      </c>
      <c r="J19" s="56"/>
      <c r="K19" s="61"/>
      <c r="L19" s="68"/>
      <c r="M19" s="67">
        <f t="shared" si="2"/>
        <v>0</v>
      </c>
      <c r="N19" s="14"/>
      <c r="O19"/>
      <c r="P19" s="15"/>
    </row>
    <row r="20" spans="1:16" ht="15.5">
      <c r="A20" s="14">
        <v>20</v>
      </c>
      <c r="B20" s="17" t="s">
        <v>64</v>
      </c>
      <c r="C20" s="17" t="s">
        <v>61</v>
      </c>
      <c r="D20" s="17" t="s">
        <v>53</v>
      </c>
      <c r="E20" s="18" t="s">
        <v>56</v>
      </c>
      <c r="F20" s="20">
        <v>0</v>
      </c>
      <c r="G20" s="16"/>
      <c r="H20" s="16"/>
      <c r="I20" s="13">
        <f t="shared" si="3"/>
        <v>0</v>
      </c>
      <c r="J20" s="56"/>
      <c r="K20" s="61"/>
      <c r="L20" s="68"/>
      <c r="M20" s="67">
        <f t="shared" si="2"/>
        <v>0</v>
      </c>
      <c r="N20" s="14"/>
      <c r="O20"/>
      <c r="P20" s="15"/>
    </row>
    <row r="21" spans="1:16" ht="15.5">
      <c r="A21" s="14">
        <v>21</v>
      </c>
      <c r="B21" s="17" t="s">
        <v>64</v>
      </c>
      <c r="C21" s="17" t="s">
        <v>61</v>
      </c>
      <c r="D21" s="17" t="s">
        <v>53</v>
      </c>
      <c r="E21" s="18" t="s">
        <v>57</v>
      </c>
      <c r="F21" s="20">
        <v>0</v>
      </c>
      <c r="G21" s="16"/>
      <c r="H21" s="16"/>
      <c r="I21" s="13">
        <f t="shared" si="3"/>
        <v>0</v>
      </c>
      <c r="J21" s="56"/>
      <c r="K21" s="61"/>
      <c r="L21" s="68"/>
      <c r="M21" s="67">
        <f t="shared" si="2"/>
        <v>0</v>
      </c>
      <c r="N21" s="14"/>
      <c r="O21"/>
      <c r="P21" s="15"/>
    </row>
    <row r="22" spans="1:16" ht="15.5">
      <c r="A22" s="14">
        <v>22</v>
      </c>
      <c r="B22" s="17" t="s">
        <v>64</v>
      </c>
      <c r="C22" s="17" t="s">
        <v>61</v>
      </c>
      <c r="D22" s="17" t="s">
        <v>53</v>
      </c>
      <c r="E22" s="18" t="s">
        <v>58</v>
      </c>
      <c r="F22" s="20">
        <v>8</v>
      </c>
      <c r="G22" s="16"/>
      <c r="H22" s="16"/>
      <c r="I22" s="13">
        <f t="shared" si="3"/>
        <v>8</v>
      </c>
      <c r="J22" s="56"/>
      <c r="K22" s="61"/>
      <c r="L22" s="68"/>
      <c r="M22" s="67">
        <f t="shared" si="2"/>
        <v>0</v>
      </c>
      <c r="N22" s="14"/>
      <c r="O22"/>
      <c r="P22" s="15"/>
    </row>
    <row r="23" spans="1:16" ht="15.5">
      <c r="A23" s="14">
        <v>23</v>
      </c>
      <c r="B23" s="17" t="s">
        <v>64</v>
      </c>
      <c r="C23" s="17" t="s">
        <v>61</v>
      </c>
      <c r="D23" s="17" t="s">
        <v>53</v>
      </c>
      <c r="E23" s="18" t="s">
        <v>59</v>
      </c>
      <c r="F23" s="20">
        <v>16</v>
      </c>
      <c r="G23" s="16"/>
      <c r="H23" s="16"/>
      <c r="I23" s="13">
        <f t="shared" si="3"/>
        <v>16</v>
      </c>
      <c r="J23" s="56"/>
      <c r="K23" s="61"/>
      <c r="L23" s="68"/>
      <c r="M23" s="67">
        <f t="shared" si="2"/>
        <v>0</v>
      </c>
      <c r="N23" s="14"/>
      <c r="O23"/>
      <c r="P23" s="15"/>
    </row>
    <row r="24" spans="1:16" ht="15.5">
      <c r="A24" s="14">
        <v>24</v>
      </c>
      <c r="B24" s="17" t="s">
        <v>64</v>
      </c>
      <c r="C24" s="17" t="s">
        <v>61</v>
      </c>
      <c r="D24" s="17" t="s">
        <v>53</v>
      </c>
      <c r="E24" s="45" t="s">
        <v>126</v>
      </c>
      <c r="F24" s="20">
        <v>14</v>
      </c>
      <c r="G24" s="16"/>
      <c r="H24" s="16"/>
      <c r="I24" s="13">
        <f t="shared" si="3"/>
        <v>14</v>
      </c>
      <c r="J24" s="56"/>
      <c r="K24" s="61"/>
      <c r="L24" s="68"/>
      <c r="M24" s="67">
        <f t="shared" si="2"/>
        <v>0</v>
      </c>
      <c r="N24" s="14"/>
      <c r="O24"/>
      <c r="P24" s="15"/>
    </row>
    <row r="25" spans="1:16" ht="15.75" customHeight="1">
      <c r="A25" s="14"/>
      <c r="B25" s="14" t="s">
        <v>127</v>
      </c>
      <c r="C25" s="152" t="s">
        <v>206</v>
      </c>
      <c r="D25" s="152" t="s">
        <v>53</v>
      </c>
      <c r="E25" s="153" t="s">
        <v>55</v>
      </c>
      <c r="F25" s="20">
        <v>5</v>
      </c>
      <c r="G25" s="16"/>
      <c r="H25" s="16"/>
      <c r="I25" s="13"/>
      <c r="J25" s="56"/>
      <c r="K25" s="61"/>
      <c r="L25" s="150"/>
      <c r="M25" s="151"/>
      <c r="N25" s="14"/>
      <c r="O25"/>
      <c r="P25" s="15"/>
    </row>
    <row r="26" spans="1:16" ht="15.75" customHeight="1">
      <c r="A26" s="14"/>
      <c r="B26" s="14" t="s">
        <v>127</v>
      </c>
      <c r="C26" s="152" t="s">
        <v>206</v>
      </c>
      <c r="D26" s="152" t="s">
        <v>205</v>
      </c>
      <c r="E26" s="153" t="s">
        <v>55</v>
      </c>
      <c r="F26" s="20">
        <v>4</v>
      </c>
      <c r="G26" s="16"/>
      <c r="H26" s="16"/>
      <c r="I26" s="13"/>
      <c r="J26" s="56"/>
      <c r="K26" s="61"/>
      <c r="L26" s="150"/>
      <c r="M26" s="151"/>
      <c r="N26" s="14"/>
      <c r="O26"/>
      <c r="P26" s="15"/>
    </row>
    <row r="27" spans="1:16" ht="15.75" customHeight="1">
      <c r="A27" s="14"/>
      <c r="B27" s="14" t="s">
        <v>127</v>
      </c>
      <c r="C27" s="152" t="s">
        <v>206</v>
      </c>
      <c r="D27" s="152" t="s">
        <v>53</v>
      </c>
      <c r="E27" s="153" t="s">
        <v>56</v>
      </c>
      <c r="F27" s="20">
        <v>6</v>
      </c>
      <c r="G27" s="16"/>
      <c r="H27" s="16"/>
      <c r="I27" s="13"/>
      <c r="J27" s="56"/>
      <c r="K27" s="61"/>
      <c r="L27" s="150"/>
      <c r="M27" s="151"/>
      <c r="N27" s="14"/>
      <c r="O27"/>
      <c r="P27" s="15"/>
    </row>
    <row r="28" spans="1:16" ht="15.75" customHeight="1">
      <c r="A28" s="14"/>
      <c r="B28" s="14" t="s">
        <v>127</v>
      </c>
      <c r="C28" s="152" t="s">
        <v>206</v>
      </c>
      <c r="D28" s="152" t="s">
        <v>205</v>
      </c>
      <c r="E28" s="153" t="s">
        <v>56</v>
      </c>
      <c r="F28" s="20">
        <v>2</v>
      </c>
      <c r="G28" s="16"/>
      <c r="H28" s="16"/>
      <c r="I28" s="13"/>
      <c r="J28" s="56"/>
      <c r="K28" s="61"/>
      <c r="L28" s="150"/>
      <c r="M28" s="151"/>
      <c r="N28" s="14"/>
      <c r="O28"/>
      <c r="P28" s="15"/>
    </row>
    <row r="29" spans="1:16" ht="15.75" customHeight="1">
      <c r="A29" s="14"/>
      <c r="B29" s="14" t="s">
        <v>127</v>
      </c>
      <c r="C29" s="152" t="s">
        <v>206</v>
      </c>
      <c r="D29" s="152" t="s">
        <v>205</v>
      </c>
      <c r="E29" s="153" t="s">
        <v>57</v>
      </c>
      <c r="F29" s="20">
        <v>6</v>
      </c>
      <c r="G29" s="16"/>
      <c r="H29" s="16"/>
      <c r="I29" s="13"/>
      <c r="J29" s="56"/>
      <c r="K29" s="61"/>
      <c r="L29" s="150"/>
      <c r="M29" s="151"/>
      <c r="N29" s="14"/>
      <c r="O29"/>
      <c r="P29" s="15"/>
    </row>
    <row r="30" spans="1:16" ht="15.75" customHeight="1">
      <c r="A30" s="14"/>
      <c r="B30" s="14" t="s">
        <v>127</v>
      </c>
      <c r="C30" s="152" t="s">
        <v>206</v>
      </c>
      <c r="D30" s="152" t="s">
        <v>53</v>
      </c>
      <c r="E30" s="153" t="s">
        <v>57</v>
      </c>
      <c r="F30" s="20">
        <v>8</v>
      </c>
      <c r="G30" s="16"/>
      <c r="H30" s="16"/>
      <c r="I30" s="13"/>
      <c r="J30" s="56"/>
      <c r="K30" s="61"/>
      <c r="L30" s="150"/>
      <c r="M30" s="151"/>
      <c r="N30" s="14"/>
      <c r="O30"/>
      <c r="P30" s="15"/>
    </row>
    <row r="31" spans="1:16" ht="15.75" customHeight="1">
      <c r="A31" s="14"/>
      <c r="B31" s="14" t="s">
        <v>127</v>
      </c>
      <c r="C31" s="152" t="s">
        <v>206</v>
      </c>
      <c r="D31" s="152" t="s">
        <v>205</v>
      </c>
      <c r="E31" s="153" t="s">
        <v>58</v>
      </c>
      <c r="F31" s="20">
        <v>6</v>
      </c>
      <c r="G31" s="16"/>
      <c r="H31" s="16"/>
      <c r="I31" s="13"/>
      <c r="J31" s="56"/>
      <c r="K31" s="61"/>
      <c r="L31" s="150"/>
      <c r="M31" s="151"/>
      <c r="N31" s="14"/>
      <c r="O31"/>
      <c r="P31" s="15"/>
    </row>
    <row r="32" spans="1:16" ht="15.75" customHeight="1">
      <c r="A32" s="14"/>
      <c r="B32" s="14" t="s">
        <v>64</v>
      </c>
      <c r="C32" s="152" t="s">
        <v>206</v>
      </c>
      <c r="D32" s="152" t="s">
        <v>205</v>
      </c>
      <c r="E32" s="153" t="s">
        <v>59</v>
      </c>
      <c r="F32" s="20">
        <v>5</v>
      </c>
      <c r="G32" s="16"/>
      <c r="H32" s="16"/>
      <c r="I32" s="13"/>
      <c r="J32" s="56"/>
      <c r="K32" s="61"/>
      <c r="L32" s="150"/>
      <c r="M32" s="151"/>
      <c r="N32" s="14"/>
      <c r="O32"/>
      <c r="P32" s="15"/>
    </row>
    <row r="33" spans="1:16" ht="15.5">
      <c r="A33" s="14">
        <v>30</v>
      </c>
      <c r="B33" s="17" t="s">
        <v>66</v>
      </c>
      <c r="C33" s="46" t="s">
        <v>128</v>
      </c>
      <c r="D33" s="17" t="s">
        <v>53</v>
      </c>
      <c r="E33" s="18" t="s">
        <v>55</v>
      </c>
      <c r="F33" s="20">
        <v>5</v>
      </c>
      <c r="G33" s="16"/>
      <c r="H33" s="16"/>
      <c r="I33" s="13">
        <f t="shared" si="3"/>
        <v>5</v>
      </c>
      <c r="J33" s="56"/>
      <c r="K33" s="61"/>
      <c r="L33" s="69"/>
      <c r="M33" s="67">
        <f t="shared" ref="M33:M38" si="4">L33*J33</f>
        <v>0</v>
      </c>
      <c r="N33" s="14"/>
      <c r="O33"/>
      <c r="P33" s="15"/>
    </row>
    <row r="34" spans="1:16" ht="15.5">
      <c r="A34" s="14">
        <v>31</v>
      </c>
      <c r="B34" s="17" t="s">
        <v>66</v>
      </c>
      <c r="C34" s="46" t="s">
        <v>128</v>
      </c>
      <c r="D34" s="17" t="s">
        <v>53</v>
      </c>
      <c r="E34" s="18" t="s">
        <v>56</v>
      </c>
      <c r="F34" s="19">
        <v>25</v>
      </c>
      <c r="G34" s="16"/>
      <c r="H34" s="16"/>
      <c r="I34" s="13">
        <f t="shared" si="3"/>
        <v>25</v>
      </c>
      <c r="J34" s="56"/>
      <c r="K34" s="61"/>
      <c r="L34" s="69"/>
      <c r="M34" s="67">
        <f t="shared" si="4"/>
        <v>0</v>
      </c>
      <c r="N34" s="14"/>
      <c r="O34"/>
      <c r="P34" s="15"/>
    </row>
    <row r="35" spans="1:16" ht="15.5">
      <c r="A35" s="14">
        <v>32</v>
      </c>
      <c r="B35" s="17" t="s">
        <v>66</v>
      </c>
      <c r="C35" s="46" t="s">
        <v>128</v>
      </c>
      <c r="D35" s="17" t="s">
        <v>53</v>
      </c>
      <c r="E35" s="18" t="s">
        <v>57</v>
      </c>
      <c r="F35" s="19">
        <v>19</v>
      </c>
      <c r="G35" s="16"/>
      <c r="H35" s="16"/>
      <c r="I35" s="13">
        <f t="shared" si="3"/>
        <v>19</v>
      </c>
      <c r="J35" s="56"/>
      <c r="K35" s="61"/>
      <c r="L35" s="69"/>
      <c r="M35" s="67">
        <f t="shared" si="4"/>
        <v>0</v>
      </c>
      <c r="N35" s="14"/>
      <c r="O35"/>
      <c r="P35" s="15"/>
    </row>
    <row r="36" spans="1:16" ht="15.5">
      <c r="A36" s="14">
        <v>33</v>
      </c>
      <c r="B36" s="17" t="s">
        <v>66</v>
      </c>
      <c r="C36" s="46" t="s">
        <v>128</v>
      </c>
      <c r="D36" s="17" t="s">
        <v>53</v>
      </c>
      <c r="E36" s="18" t="s">
        <v>58</v>
      </c>
      <c r="F36" s="19">
        <v>28</v>
      </c>
      <c r="G36" s="16"/>
      <c r="H36" s="16"/>
      <c r="I36" s="13">
        <f t="shared" si="3"/>
        <v>28</v>
      </c>
      <c r="J36" s="56"/>
      <c r="K36" s="61"/>
      <c r="L36" s="69"/>
      <c r="M36" s="67">
        <f t="shared" si="4"/>
        <v>0</v>
      </c>
      <c r="N36" s="14"/>
      <c r="O36"/>
      <c r="P36" s="15"/>
    </row>
    <row r="37" spans="1:16" ht="15.5">
      <c r="A37" s="14">
        <v>34</v>
      </c>
      <c r="B37" s="17" t="s">
        <v>66</v>
      </c>
      <c r="C37" s="46" t="s">
        <v>128</v>
      </c>
      <c r="D37" s="17" t="s">
        <v>53</v>
      </c>
      <c r="E37" s="18" t="s">
        <v>59</v>
      </c>
      <c r="F37" s="19">
        <v>18</v>
      </c>
      <c r="G37" s="16"/>
      <c r="H37" s="16"/>
      <c r="I37" s="13">
        <f t="shared" si="3"/>
        <v>18</v>
      </c>
      <c r="J37" s="56"/>
      <c r="K37" s="61"/>
      <c r="L37" s="69"/>
      <c r="M37" s="67">
        <f t="shared" si="4"/>
        <v>0</v>
      </c>
      <c r="N37" s="14"/>
      <c r="O37"/>
      <c r="P37" s="15"/>
    </row>
    <row r="38" spans="1:16" ht="15.5">
      <c r="A38" s="14">
        <v>35</v>
      </c>
      <c r="B38" s="46" t="s">
        <v>66</v>
      </c>
      <c r="C38" s="46" t="s">
        <v>128</v>
      </c>
      <c r="D38" s="17" t="s">
        <v>53</v>
      </c>
      <c r="E38" s="48" t="s">
        <v>126</v>
      </c>
      <c r="F38" s="19">
        <v>13</v>
      </c>
      <c r="G38" s="16"/>
      <c r="H38" s="16"/>
      <c r="I38" s="13">
        <f t="shared" si="3"/>
        <v>13</v>
      </c>
      <c r="J38" s="56"/>
      <c r="K38" s="61"/>
      <c r="L38" s="69"/>
      <c r="M38" s="67">
        <f t="shared" si="4"/>
        <v>0</v>
      </c>
      <c r="O38" s="15"/>
      <c r="P38" s="16"/>
    </row>
    <row r="39" spans="1:16" ht="15.75" customHeight="1">
      <c r="A39" s="14">
        <v>36</v>
      </c>
      <c r="B39" s="14" t="s">
        <v>127</v>
      </c>
      <c r="C39" s="63" t="s">
        <v>134</v>
      </c>
      <c r="D39" s="173" t="s">
        <v>54</v>
      </c>
      <c r="E39" s="174" t="s">
        <v>55</v>
      </c>
      <c r="F39" s="19">
        <v>5</v>
      </c>
      <c r="G39" s="16"/>
      <c r="H39" s="16"/>
      <c r="I39" s="13">
        <f t="shared" si="3"/>
        <v>5</v>
      </c>
      <c r="J39" s="56"/>
      <c r="K39" s="61">
        <f t="shared" ref="K39:K43" si="5">J39/3</f>
        <v>0</v>
      </c>
      <c r="L39" s="66"/>
      <c r="M39" s="54"/>
      <c r="N39" s="14"/>
      <c r="O39"/>
      <c r="P39" s="15"/>
    </row>
    <row r="40" spans="1:16" ht="15.75" customHeight="1">
      <c r="A40" s="14">
        <v>37</v>
      </c>
      <c r="B40" s="14" t="s">
        <v>127</v>
      </c>
      <c r="C40" s="63" t="s">
        <v>134</v>
      </c>
      <c r="D40" s="173" t="s">
        <v>54</v>
      </c>
      <c r="E40" s="18" t="s">
        <v>56</v>
      </c>
      <c r="F40" s="19">
        <v>0</v>
      </c>
      <c r="G40" s="16"/>
      <c r="H40" s="16"/>
      <c r="I40" s="13">
        <f t="shared" si="3"/>
        <v>0</v>
      </c>
      <c r="J40" s="56"/>
      <c r="K40" s="61">
        <f t="shared" si="5"/>
        <v>0</v>
      </c>
      <c r="L40" s="66"/>
      <c r="M40" s="53"/>
      <c r="N40" s="14"/>
      <c r="O40"/>
      <c r="P40" s="15"/>
    </row>
    <row r="41" spans="1:16" ht="15.75" customHeight="1">
      <c r="A41" s="14">
        <v>38</v>
      </c>
      <c r="B41" s="14" t="s">
        <v>127</v>
      </c>
      <c r="C41" s="63" t="s">
        <v>134</v>
      </c>
      <c r="D41" s="173" t="s">
        <v>54</v>
      </c>
      <c r="E41" s="18" t="s">
        <v>57</v>
      </c>
      <c r="F41" s="19">
        <v>0</v>
      </c>
      <c r="G41" s="16"/>
      <c r="H41" s="16"/>
      <c r="I41" s="13">
        <f t="shared" si="3"/>
        <v>0</v>
      </c>
      <c r="J41" s="56"/>
      <c r="K41" s="61">
        <f t="shared" si="5"/>
        <v>0</v>
      </c>
      <c r="L41" s="66"/>
      <c r="M41" s="55" t="str">
        <f>IF($C$1&gt;F41,"SIM","NÃO")</f>
        <v>NÃO</v>
      </c>
      <c r="O41" s="15">
        <f>(F41-$C$1)</f>
        <v>0</v>
      </c>
      <c r="P41" s="16" t="str">
        <f t="shared" ref="P41:P44" si="6">IF($O41&gt;0&lt;=100,"À VENCER",IF($O41&gt;=100,"EM AQUISIÇÃO",IF($O41&lt;=0,"VENCIDA")))</f>
        <v>VENCIDA</v>
      </c>
    </row>
    <row r="42" spans="1:16" ht="15.75" customHeight="1">
      <c r="A42" s="14">
        <v>39</v>
      </c>
      <c r="B42" s="14" t="s">
        <v>127</v>
      </c>
      <c r="C42" s="63" t="s">
        <v>134</v>
      </c>
      <c r="D42" s="173" t="s">
        <v>54</v>
      </c>
      <c r="E42" s="18" t="s">
        <v>58</v>
      </c>
      <c r="F42" s="19">
        <v>0</v>
      </c>
      <c r="G42" s="16"/>
      <c r="H42" s="16"/>
      <c r="I42" s="13">
        <f t="shared" si="3"/>
        <v>0</v>
      </c>
      <c r="J42" s="56"/>
      <c r="K42" s="61">
        <f t="shared" si="5"/>
        <v>0</v>
      </c>
      <c r="L42" s="66"/>
      <c r="M42" s="55" t="str">
        <f>IF($C$1&gt;F42,"SIM","NÃO")</f>
        <v>NÃO</v>
      </c>
      <c r="O42" s="15">
        <f>(F42-$C$1)</f>
        <v>0</v>
      </c>
      <c r="P42" s="16" t="str">
        <f t="shared" si="6"/>
        <v>VENCIDA</v>
      </c>
    </row>
    <row r="43" spans="1:16" ht="15.75" customHeight="1">
      <c r="A43" s="14">
        <v>40</v>
      </c>
      <c r="B43" s="14" t="s">
        <v>127</v>
      </c>
      <c r="C43" s="63" t="s">
        <v>134</v>
      </c>
      <c r="D43" s="173" t="s">
        <v>54</v>
      </c>
      <c r="E43" s="18" t="s">
        <v>59</v>
      </c>
      <c r="F43" s="19">
        <v>0</v>
      </c>
      <c r="G43" s="16"/>
      <c r="H43" s="16"/>
      <c r="I43" s="13">
        <f t="shared" si="3"/>
        <v>0</v>
      </c>
      <c r="J43" s="56"/>
      <c r="K43" s="61">
        <f t="shared" si="5"/>
        <v>0</v>
      </c>
      <c r="L43" s="66"/>
      <c r="M43" s="55" t="str">
        <f>IF($C$1&gt;F43,"SIM","NÃO")</f>
        <v>NÃO</v>
      </c>
      <c r="O43" s="15">
        <f>(F43-$C$1)</f>
        <v>0</v>
      </c>
      <c r="P43" s="16" t="str">
        <f t="shared" si="6"/>
        <v>VENCIDA</v>
      </c>
    </row>
    <row r="44" spans="1:16" ht="15.75" customHeight="1">
      <c r="A44" s="14">
        <v>40</v>
      </c>
      <c r="B44" s="14" t="s">
        <v>127</v>
      </c>
      <c r="C44" s="63" t="s">
        <v>134</v>
      </c>
      <c r="D44" s="173" t="s">
        <v>54</v>
      </c>
      <c r="E44" s="48" t="s">
        <v>126</v>
      </c>
      <c r="F44" s="19">
        <v>0</v>
      </c>
      <c r="G44" s="16"/>
      <c r="H44" s="16"/>
      <c r="I44" s="13">
        <f t="shared" ref="I44" si="7">F44</f>
        <v>0</v>
      </c>
      <c r="J44" s="56"/>
      <c r="K44" s="61">
        <f t="shared" ref="K44" si="8">J44/3</f>
        <v>0</v>
      </c>
      <c r="L44" s="66"/>
      <c r="M44" s="55" t="str">
        <f>IF($C$1&gt;F44,"SIM","NÃO")</f>
        <v>NÃO</v>
      </c>
      <c r="O44" s="15">
        <f>(F44-$C$1)</f>
        <v>0</v>
      </c>
      <c r="P44" s="16" t="str">
        <f t="shared" si="6"/>
        <v>VENCIDA</v>
      </c>
    </row>
    <row r="45" spans="1:16" ht="15.5">
      <c r="A45" s="14">
        <v>18</v>
      </c>
      <c r="B45" s="17" t="s">
        <v>65</v>
      </c>
      <c r="C45" s="46" t="s">
        <v>129</v>
      </c>
      <c r="D45" s="17" t="s">
        <v>52</v>
      </c>
      <c r="E45" s="64" t="s">
        <v>58</v>
      </c>
      <c r="F45" s="20">
        <v>0</v>
      </c>
      <c r="G45" s="16"/>
      <c r="H45" s="16"/>
      <c r="I45" s="13">
        <f t="shared" ref="I45:I47" si="9">F45</f>
        <v>0</v>
      </c>
      <c r="J45" s="56"/>
      <c r="K45" s="61"/>
      <c r="L45" s="70"/>
      <c r="M45" s="67">
        <f t="shared" ref="M45:M53" si="10">L45*J45</f>
        <v>0</v>
      </c>
      <c r="N45" s="14"/>
      <c r="O45"/>
      <c r="P45" s="15"/>
    </row>
    <row r="46" spans="1:16" ht="15.5">
      <c r="A46" s="14">
        <v>18</v>
      </c>
      <c r="B46" s="17" t="s">
        <v>65</v>
      </c>
      <c r="C46" s="46" t="s">
        <v>129</v>
      </c>
      <c r="D46" s="17" t="s">
        <v>52</v>
      </c>
      <c r="E46" s="64" t="s">
        <v>59</v>
      </c>
      <c r="F46" s="20">
        <v>12</v>
      </c>
      <c r="G46" s="16"/>
      <c r="H46" s="16"/>
      <c r="I46" s="13">
        <f t="shared" si="9"/>
        <v>12</v>
      </c>
      <c r="J46" s="56"/>
      <c r="K46" s="61"/>
      <c r="L46" s="70"/>
      <c r="M46" s="67">
        <f t="shared" si="10"/>
        <v>0</v>
      </c>
      <c r="N46" s="14"/>
      <c r="O46"/>
      <c r="P46" s="15"/>
    </row>
    <row r="47" spans="1:16" ht="15.5">
      <c r="A47" s="14">
        <v>18</v>
      </c>
      <c r="B47" s="17" t="s">
        <v>65</v>
      </c>
      <c r="C47" s="46" t="s">
        <v>129</v>
      </c>
      <c r="D47" s="17" t="s">
        <v>52</v>
      </c>
      <c r="E47" s="64" t="s">
        <v>126</v>
      </c>
      <c r="F47" s="20">
        <v>11</v>
      </c>
      <c r="G47" s="16"/>
      <c r="H47" s="16"/>
      <c r="I47" s="13">
        <f t="shared" si="9"/>
        <v>11</v>
      </c>
      <c r="J47" s="56"/>
      <c r="K47" s="61"/>
      <c r="L47" s="70"/>
      <c r="M47" s="67">
        <f t="shared" si="10"/>
        <v>0</v>
      </c>
      <c r="N47" s="14"/>
      <c r="O47"/>
      <c r="P47" s="15"/>
    </row>
    <row r="48" spans="1:16" ht="15.5">
      <c r="A48" s="14">
        <v>17</v>
      </c>
      <c r="B48" s="17" t="s">
        <v>65</v>
      </c>
      <c r="C48" s="46" t="s">
        <v>129</v>
      </c>
      <c r="D48" s="63" t="s">
        <v>53</v>
      </c>
      <c r="E48" s="19" t="s">
        <v>55</v>
      </c>
      <c r="F48" s="20">
        <v>0</v>
      </c>
      <c r="G48" s="16"/>
      <c r="H48" s="16"/>
      <c r="I48" s="13">
        <v>0</v>
      </c>
      <c r="J48" s="56"/>
      <c r="K48" s="61"/>
      <c r="L48" s="70"/>
      <c r="M48" s="67">
        <f t="shared" si="10"/>
        <v>0</v>
      </c>
      <c r="N48" s="14"/>
      <c r="O48"/>
      <c r="P48" s="15"/>
    </row>
    <row r="49" spans="1:16" ht="15.5">
      <c r="A49" s="14"/>
      <c r="B49" s="51" t="s">
        <v>65</v>
      </c>
      <c r="C49" s="51" t="s">
        <v>129</v>
      </c>
      <c r="D49" s="63" t="s">
        <v>53</v>
      </c>
      <c r="E49" s="52" t="s">
        <v>56</v>
      </c>
      <c r="F49" s="20">
        <v>1</v>
      </c>
      <c r="G49" s="16"/>
      <c r="H49" s="16"/>
      <c r="I49" s="13"/>
      <c r="J49" s="56"/>
      <c r="K49" s="61"/>
      <c r="L49" s="70"/>
      <c r="M49" s="67">
        <f t="shared" si="10"/>
        <v>0</v>
      </c>
      <c r="N49" s="14"/>
      <c r="O49"/>
      <c r="P49" s="15"/>
    </row>
    <row r="50" spans="1:16" ht="15.5">
      <c r="A50" s="14">
        <v>18</v>
      </c>
      <c r="B50" s="17" t="s">
        <v>65</v>
      </c>
      <c r="C50" s="46" t="s">
        <v>129</v>
      </c>
      <c r="D50" s="63" t="s">
        <v>53</v>
      </c>
      <c r="E50" s="24" t="s">
        <v>57</v>
      </c>
      <c r="F50" s="20">
        <v>0</v>
      </c>
      <c r="G50" s="16"/>
      <c r="H50" s="16"/>
      <c r="I50" s="13">
        <v>2</v>
      </c>
      <c r="J50" s="56"/>
      <c r="K50" s="61"/>
      <c r="L50" s="70"/>
      <c r="M50" s="67">
        <f t="shared" si="10"/>
        <v>0</v>
      </c>
      <c r="N50" s="14"/>
      <c r="O50"/>
      <c r="P50" s="15"/>
    </row>
    <row r="51" spans="1:16" ht="15.5">
      <c r="A51" s="14">
        <v>18</v>
      </c>
      <c r="B51" s="17" t="s">
        <v>65</v>
      </c>
      <c r="C51" s="46" t="s">
        <v>129</v>
      </c>
      <c r="D51" s="63" t="s">
        <v>53</v>
      </c>
      <c r="E51" s="64" t="s">
        <v>58</v>
      </c>
      <c r="F51" s="20">
        <v>5</v>
      </c>
      <c r="G51" s="16"/>
      <c r="H51" s="16"/>
      <c r="I51" s="13">
        <v>2</v>
      </c>
      <c r="J51" s="56"/>
      <c r="K51" s="61"/>
      <c r="L51" s="70"/>
      <c r="M51" s="67">
        <f t="shared" si="10"/>
        <v>0</v>
      </c>
      <c r="N51" s="14"/>
      <c r="O51"/>
      <c r="P51" s="15"/>
    </row>
    <row r="52" spans="1:16" ht="15.5">
      <c r="A52" s="14">
        <v>18</v>
      </c>
      <c r="B52" s="17" t="s">
        <v>65</v>
      </c>
      <c r="C52" s="46" t="s">
        <v>129</v>
      </c>
      <c r="D52" s="63" t="s">
        <v>53</v>
      </c>
      <c r="E52" s="64" t="s">
        <v>59</v>
      </c>
      <c r="F52" s="20">
        <v>4</v>
      </c>
      <c r="G52" s="16"/>
      <c r="H52" s="16"/>
      <c r="I52" s="13">
        <v>2</v>
      </c>
      <c r="J52" s="56"/>
      <c r="K52" s="61"/>
      <c r="L52" s="70"/>
      <c r="M52" s="67">
        <f t="shared" si="10"/>
        <v>0</v>
      </c>
      <c r="N52" s="14"/>
      <c r="O52"/>
      <c r="P52" s="15"/>
    </row>
    <row r="53" spans="1:16" ht="15.5">
      <c r="A53" s="14">
        <v>18</v>
      </c>
      <c r="B53" s="17" t="s">
        <v>65</v>
      </c>
      <c r="C53" s="46" t="s">
        <v>129</v>
      </c>
      <c r="D53" s="63" t="s">
        <v>53</v>
      </c>
      <c r="E53" s="64" t="s">
        <v>126</v>
      </c>
      <c r="F53" s="20">
        <v>6</v>
      </c>
      <c r="G53" s="16"/>
      <c r="H53" s="16"/>
      <c r="I53" s="13">
        <v>2</v>
      </c>
      <c r="J53" s="56"/>
      <c r="K53" s="61"/>
      <c r="L53" s="70"/>
      <c r="M53" s="67">
        <f t="shared" si="10"/>
        <v>0</v>
      </c>
      <c r="N53" s="14"/>
      <c r="O53"/>
      <c r="P53" s="15"/>
    </row>
    <row r="54" spans="1:16" s="71" customFormat="1" ht="15.5">
      <c r="A54" s="71" t="s">
        <v>133</v>
      </c>
      <c r="J54" s="71">
        <f>SUM(J4:J53)</f>
        <v>0</v>
      </c>
      <c r="K54" s="72">
        <f>SUM(K4:K53)</f>
        <v>0</v>
      </c>
      <c r="L54" s="72"/>
      <c r="M54" s="73">
        <f>SUM(M4:M53)</f>
        <v>0</v>
      </c>
      <c r="O54" s="74"/>
    </row>
  </sheetData>
  <autoFilter ref="C2:E54" xr:uid="{292CBCE3-F1C6-40AF-9B33-57108C558D8E}"/>
  <mergeCells count="2">
    <mergeCell ref="N2:N3"/>
    <mergeCell ref="P2:P3"/>
  </mergeCells>
  <conditionalFormatting sqref="I45">
    <cfRule type="iconSet" priority="5">
      <iconSet showValue="0">
        <cfvo type="percent" val="0"/>
        <cfvo type="num" val="0" gte="0"/>
        <cfvo type="num" val="1"/>
      </iconSet>
    </cfRule>
  </conditionalFormatting>
  <conditionalFormatting sqref="I46:I47">
    <cfRule type="iconSet" priority="4">
      <iconSet showValue="0">
        <cfvo type="percent" val="0"/>
        <cfvo type="num" val="0" gte="0"/>
        <cfvo type="num" val="1"/>
      </iconSet>
    </cfRule>
  </conditionalFormatting>
  <conditionalFormatting sqref="I48:I50">
    <cfRule type="iconSet" priority="3">
      <iconSet showValue="0">
        <cfvo type="percent" val="0"/>
        <cfvo type="num" val="0" gte="0"/>
        <cfvo type="num" val="1"/>
      </iconSet>
    </cfRule>
  </conditionalFormatting>
  <conditionalFormatting sqref="I51">
    <cfRule type="iconSet" priority="2">
      <iconSet showValue="0">
        <cfvo type="percent" val="0"/>
        <cfvo type="num" val="0" gte="0"/>
        <cfvo type="num" val="1"/>
      </iconSet>
    </cfRule>
  </conditionalFormatting>
  <conditionalFormatting sqref="I52:I53">
    <cfRule type="iconSet" priority="1">
      <iconSet showValue="0">
        <cfvo type="percent" val="0"/>
        <cfvo type="num" val="0" gte="0"/>
        <cfvo type="num" val="1"/>
      </iconSet>
    </cfRule>
  </conditionalFormatting>
  <conditionalFormatting sqref="I4:I44">
    <cfRule type="iconSet" priority="38">
      <iconSet showValue="0">
        <cfvo type="percent" val="0"/>
        <cfvo type="num" val="0" gte="0"/>
        <cfvo type="num" val="1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xmlns:x16r3="http://schemas.microsoft.com/office/spreadsheetml/2018/08/main" sqref="I40:I43 I6:I8 I18:I23 I10:I14 I33:I37 I16" x16r3:misleadingForma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B66A-E4E1-4330-8488-E4830332AB32}">
  <sheetPr filterMode="1"/>
  <dimension ref="A1:I48"/>
  <sheetViews>
    <sheetView workbookViewId="0">
      <selection activeCell="I11" sqref="I11"/>
    </sheetView>
  </sheetViews>
  <sheetFormatPr defaultRowHeight="13"/>
  <cols>
    <col min="1" max="1" width="32.69921875" customWidth="1"/>
    <col min="2" max="2" width="1.59765625" customWidth="1"/>
    <col min="3" max="3" width="14.3984375" customWidth="1"/>
    <col min="4" max="4" width="11" customWidth="1"/>
    <col min="5" max="5" width="13.09765625" customWidth="1"/>
    <col min="6" max="6" width="14.296875" customWidth="1"/>
    <col min="7" max="7" width="7.296875" customWidth="1"/>
    <col min="8" max="8" width="12.296875" customWidth="1"/>
    <col min="9" max="9" width="39.8984375" customWidth="1"/>
    <col min="11" max="11" width="16.59765625" customWidth="1"/>
    <col min="12" max="12" width="12" customWidth="1"/>
  </cols>
  <sheetData>
    <row r="1" spans="1:9" ht="14" customHeight="1">
      <c r="A1" s="157" t="s">
        <v>123</v>
      </c>
      <c r="B1" s="39"/>
      <c r="C1" s="34"/>
      <c r="D1" s="34"/>
      <c r="E1" s="34"/>
      <c r="F1" s="34"/>
      <c r="G1" s="34"/>
      <c r="H1" s="34"/>
      <c r="I1" s="34"/>
    </row>
    <row r="2" spans="1:9" ht="14" customHeight="1">
      <c r="A2" s="157"/>
      <c r="B2" s="39"/>
      <c r="C2" s="32" t="s">
        <v>116</v>
      </c>
      <c r="D2" s="35">
        <f>COUNTIF(H13:H48,"Entregue")</f>
        <v>23</v>
      </c>
      <c r="E2" s="34"/>
      <c r="F2" s="34"/>
      <c r="G2" s="34"/>
      <c r="H2" s="34"/>
      <c r="I2" s="34"/>
    </row>
    <row r="3" spans="1:9" ht="14" customHeight="1">
      <c r="A3" s="157"/>
      <c r="B3" s="39"/>
      <c r="C3" s="33" t="s">
        <v>117</v>
      </c>
      <c r="D3" s="35">
        <f>COUNTIF(H14:H49,"Não Entregue")</f>
        <v>13</v>
      </c>
      <c r="E3" s="34"/>
      <c r="F3" s="34"/>
      <c r="G3" s="34"/>
      <c r="H3" s="34"/>
      <c r="I3" s="34"/>
    </row>
    <row r="4" spans="1:9" ht="14" customHeight="1">
      <c r="A4" s="157"/>
      <c r="B4" s="39"/>
      <c r="C4" s="34"/>
      <c r="D4" s="34"/>
      <c r="E4" s="34"/>
      <c r="F4" s="34"/>
      <c r="G4" s="34"/>
      <c r="H4" s="34"/>
      <c r="I4" s="34"/>
    </row>
    <row r="5" spans="1:9" ht="14" customHeight="1">
      <c r="A5" s="157"/>
      <c r="B5" s="39"/>
      <c r="C5" s="38" t="s">
        <v>118</v>
      </c>
      <c r="D5" s="35">
        <f>COUNTIFS(F13:F48,"Eduardo Eller",H13:H48,"Não Entregue")</f>
        <v>5</v>
      </c>
      <c r="E5" s="34"/>
      <c r="F5" s="34"/>
      <c r="G5" s="34"/>
      <c r="H5" s="34"/>
      <c r="I5" s="34"/>
    </row>
    <row r="6" spans="1:9" ht="14" customHeight="1">
      <c r="A6" s="157"/>
      <c r="B6" s="39"/>
      <c r="C6" s="38" t="s">
        <v>12</v>
      </c>
      <c r="D6" s="35">
        <f>COUNTIFS(F13:F48,"Túlio Morais",H13:H48,"Não Entregue")</f>
        <v>0</v>
      </c>
      <c r="E6" s="34"/>
      <c r="F6" s="34"/>
      <c r="G6" s="34"/>
      <c r="H6" s="34"/>
      <c r="I6" s="34"/>
    </row>
    <row r="7" spans="1:9" ht="14" customHeight="1">
      <c r="A7" s="157"/>
      <c r="B7" s="39"/>
      <c r="C7" s="38" t="s">
        <v>119</v>
      </c>
      <c r="D7" s="35">
        <f>COUNTIFS(F13:F48,"Paulo Paiva",H13:H48,"Não Entregue")</f>
        <v>1</v>
      </c>
      <c r="E7" s="34"/>
      <c r="F7" s="34"/>
      <c r="G7" s="34"/>
      <c r="H7" s="34"/>
      <c r="I7" s="34"/>
    </row>
    <row r="8" spans="1:9" ht="14" customHeight="1">
      <c r="A8" s="157"/>
      <c r="B8" s="39"/>
      <c r="C8" s="38" t="s">
        <v>120</v>
      </c>
      <c r="D8" s="35">
        <f>COUNTIFS(F13:F48,"Lucas Ferraz",H13:H48,"Não Entregue")</f>
        <v>1</v>
      </c>
      <c r="E8" s="34"/>
      <c r="F8" s="34"/>
      <c r="G8" s="34"/>
      <c r="H8" s="34"/>
      <c r="I8" s="34"/>
    </row>
    <row r="9" spans="1:9" ht="14" customHeight="1">
      <c r="A9" s="157"/>
      <c r="B9" s="39"/>
      <c r="C9" s="38" t="s">
        <v>121</v>
      </c>
      <c r="D9" s="35">
        <f>COUNTIFS(F13:F48,"Leonardo",H13:H48,"Não Entregue")</f>
        <v>6</v>
      </c>
      <c r="E9" s="34"/>
      <c r="F9" s="34"/>
      <c r="G9" s="34"/>
      <c r="H9" s="34"/>
      <c r="I9" s="34"/>
    </row>
    <row r="10" spans="1:9" ht="18" customHeight="1">
      <c r="A10" s="157"/>
      <c r="B10" s="39"/>
      <c r="C10" s="38" t="s">
        <v>122</v>
      </c>
      <c r="D10" s="35">
        <f>COUNTIFS(F13:F48,"Bruno",H13:H48,"Não Entregue")</f>
        <v>0</v>
      </c>
      <c r="E10" s="34"/>
      <c r="F10" s="34"/>
      <c r="G10" s="34"/>
      <c r="H10" s="34"/>
      <c r="I10" s="34"/>
    </row>
    <row r="11" spans="1:9" ht="16.25" customHeight="1">
      <c r="A11" s="157"/>
      <c r="B11" s="39"/>
      <c r="C11" s="37"/>
      <c r="D11" s="36"/>
      <c r="E11" s="34"/>
      <c r="F11" s="34"/>
      <c r="G11" s="34"/>
      <c r="H11" s="34"/>
      <c r="I11" s="34"/>
    </row>
    <row r="12" spans="1:9" ht="16.25" customHeight="1">
      <c r="A12" s="158" t="s">
        <v>110</v>
      </c>
      <c r="B12" s="159"/>
      <c r="C12" s="41" t="s">
        <v>48</v>
      </c>
      <c r="D12" s="41" t="s">
        <v>109</v>
      </c>
      <c r="E12" s="41" t="s">
        <v>111</v>
      </c>
      <c r="F12" s="41" t="s">
        <v>112</v>
      </c>
      <c r="G12" s="40" t="s">
        <v>113</v>
      </c>
      <c r="H12" s="41" t="s">
        <v>114</v>
      </c>
      <c r="I12" s="42" t="s">
        <v>115</v>
      </c>
    </row>
    <row r="13" spans="1:9" hidden="1">
      <c r="A13" s="160" t="s">
        <v>74</v>
      </c>
      <c r="B13" s="161"/>
      <c r="C13" s="27">
        <v>1</v>
      </c>
      <c r="D13" s="27" t="s">
        <v>56</v>
      </c>
      <c r="E13" s="28">
        <v>45047</v>
      </c>
      <c r="F13" s="27"/>
      <c r="G13" s="29">
        <f t="shared" ref="G13:G48" si="0">C13</f>
        <v>1</v>
      </c>
      <c r="H13" s="43" t="str">
        <f t="shared" ref="H13:H48" si="1">IF($C13&gt;0,"Entregue",IF($C13=0,"Não Entregue"))</f>
        <v>Entregue</v>
      </c>
      <c r="I13" s="31" t="str">
        <f>H13</f>
        <v>Entregue</v>
      </c>
    </row>
    <row r="14" spans="1:9" hidden="1">
      <c r="A14" s="162" t="s">
        <v>75</v>
      </c>
      <c r="B14" s="163"/>
      <c r="C14" s="25">
        <v>1</v>
      </c>
      <c r="D14" s="25" t="s">
        <v>56</v>
      </c>
      <c r="E14" s="26">
        <v>45047</v>
      </c>
      <c r="F14" s="25"/>
      <c r="G14" s="30">
        <f t="shared" si="0"/>
        <v>1</v>
      </c>
      <c r="H14" s="44" t="str">
        <f t="shared" si="1"/>
        <v>Entregue</v>
      </c>
      <c r="I14" s="31" t="str">
        <f>H14</f>
        <v>Entregue</v>
      </c>
    </row>
    <row r="15" spans="1:9">
      <c r="A15" s="162" t="s">
        <v>76</v>
      </c>
      <c r="B15" s="163"/>
      <c r="C15" s="25">
        <v>0</v>
      </c>
      <c r="D15" s="25" t="s">
        <v>58</v>
      </c>
      <c r="E15" s="25"/>
      <c r="F15" s="25" t="s">
        <v>118</v>
      </c>
      <c r="G15" s="30">
        <f t="shared" si="0"/>
        <v>0</v>
      </c>
      <c r="H15" s="44" t="str">
        <f t="shared" si="1"/>
        <v>Não Entregue</v>
      </c>
      <c r="I15" s="31" t="s">
        <v>125</v>
      </c>
    </row>
    <row r="16" spans="1:9" hidden="1">
      <c r="A16" s="162" t="s">
        <v>77</v>
      </c>
      <c r="B16" s="163"/>
      <c r="C16" s="25">
        <v>1</v>
      </c>
      <c r="D16" s="25" t="s">
        <v>55</v>
      </c>
      <c r="E16" s="26">
        <v>45065</v>
      </c>
      <c r="F16" s="25" t="s">
        <v>12</v>
      </c>
      <c r="G16" s="30">
        <f t="shared" si="0"/>
        <v>1</v>
      </c>
      <c r="H16" s="44" t="str">
        <f t="shared" si="1"/>
        <v>Entregue</v>
      </c>
      <c r="I16" s="31" t="str">
        <f>H16</f>
        <v>Entregue</v>
      </c>
    </row>
    <row r="17" spans="1:9" hidden="1">
      <c r="A17" s="162" t="s">
        <v>78</v>
      </c>
      <c r="B17" s="163"/>
      <c r="C17" s="25">
        <v>1</v>
      </c>
      <c r="D17" s="25" t="s">
        <v>55</v>
      </c>
      <c r="E17" s="26">
        <v>45069</v>
      </c>
      <c r="F17" s="25" t="s">
        <v>12</v>
      </c>
      <c r="G17" s="30">
        <f t="shared" si="0"/>
        <v>1</v>
      </c>
      <c r="H17" s="44" t="str">
        <f t="shared" si="1"/>
        <v>Entregue</v>
      </c>
      <c r="I17" s="31" t="str">
        <f>H17</f>
        <v>Entregue</v>
      </c>
    </row>
    <row r="18" spans="1:9">
      <c r="A18" s="164" t="s">
        <v>79</v>
      </c>
      <c r="B18" s="165"/>
      <c r="C18" s="25">
        <v>0</v>
      </c>
      <c r="D18" s="25" t="s">
        <v>57</v>
      </c>
      <c r="E18" s="25"/>
      <c r="F18" s="25" t="s">
        <v>121</v>
      </c>
      <c r="G18" s="30">
        <f t="shared" si="0"/>
        <v>0</v>
      </c>
      <c r="H18" s="44" t="str">
        <f t="shared" si="1"/>
        <v>Não Entregue</v>
      </c>
      <c r="I18" s="31" t="s">
        <v>125</v>
      </c>
    </row>
    <row r="19" spans="1:9">
      <c r="A19" s="162" t="s">
        <v>80</v>
      </c>
      <c r="B19" s="163"/>
      <c r="C19" s="25">
        <v>0</v>
      </c>
      <c r="D19" s="25" t="s">
        <v>59</v>
      </c>
      <c r="E19" s="25"/>
      <c r="F19" s="25" t="s">
        <v>121</v>
      </c>
      <c r="G19" s="30">
        <f t="shared" si="0"/>
        <v>0</v>
      </c>
      <c r="H19" s="44" t="str">
        <f t="shared" si="1"/>
        <v>Não Entregue</v>
      </c>
      <c r="I19" s="31" t="s">
        <v>125</v>
      </c>
    </row>
    <row r="20" spans="1:9" hidden="1">
      <c r="A20" s="162" t="s">
        <v>81</v>
      </c>
      <c r="B20" s="163"/>
      <c r="C20" s="25">
        <v>1</v>
      </c>
      <c r="D20" s="25" t="s">
        <v>56</v>
      </c>
      <c r="E20" s="26">
        <v>45062</v>
      </c>
      <c r="F20" s="25" t="s">
        <v>119</v>
      </c>
      <c r="G20" s="30">
        <f t="shared" si="0"/>
        <v>1</v>
      </c>
      <c r="H20" s="44" t="str">
        <f t="shared" si="1"/>
        <v>Entregue</v>
      </c>
      <c r="I20" s="31" t="str">
        <f t="shared" ref="I20:I25" si="2">H20</f>
        <v>Entregue</v>
      </c>
    </row>
    <row r="21" spans="1:9" hidden="1">
      <c r="A21" s="162" t="s">
        <v>82</v>
      </c>
      <c r="B21" s="163"/>
      <c r="C21" s="25">
        <v>1</v>
      </c>
      <c r="D21" s="25" t="s">
        <v>57</v>
      </c>
      <c r="E21" s="26">
        <v>45065</v>
      </c>
      <c r="F21" s="25" t="s">
        <v>12</v>
      </c>
      <c r="G21" s="30">
        <f t="shared" si="0"/>
        <v>1</v>
      </c>
      <c r="H21" s="44" t="str">
        <f t="shared" si="1"/>
        <v>Entregue</v>
      </c>
      <c r="I21" s="31" t="str">
        <f t="shared" si="2"/>
        <v>Entregue</v>
      </c>
    </row>
    <row r="22" spans="1:9" hidden="1">
      <c r="A22" s="162" t="s">
        <v>83</v>
      </c>
      <c r="B22" s="163"/>
      <c r="C22" s="25">
        <v>1</v>
      </c>
      <c r="D22" s="25" t="s">
        <v>58</v>
      </c>
      <c r="E22" s="26">
        <v>45056</v>
      </c>
      <c r="F22" s="25" t="s">
        <v>12</v>
      </c>
      <c r="G22" s="30">
        <f t="shared" si="0"/>
        <v>1</v>
      </c>
      <c r="H22" s="44" t="str">
        <f t="shared" si="1"/>
        <v>Entregue</v>
      </c>
      <c r="I22" s="31" t="str">
        <f t="shared" si="2"/>
        <v>Entregue</v>
      </c>
    </row>
    <row r="23" spans="1:9" hidden="1">
      <c r="A23" s="162" t="s">
        <v>84</v>
      </c>
      <c r="B23" s="163"/>
      <c r="C23" s="25">
        <v>1</v>
      </c>
      <c r="D23" s="25" t="s">
        <v>56</v>
      </c>
      <c r="E23" s="26">
        <v>45062</v>
      </c>
      <c r="F23" s="25" t="s">
        <v>120</v>
      </c>
      <c r="G23" s="30">
        <f t="shared" si="0"/>
        <v>1</v>
      </c>
      <c r="H23" s="44" t="str">
        <f t="shared" si="1"/>
        <v>Entregue</v>
      </c>
      <c r="I23" s="31" t="str">
        <f t="shared" si="2"/>
        <v>Entregue</v>
      </c>
    </row>
    <row r="24" spans="1:9" hidden="1">
      <c r="A24" s="162" t="s">
        <v>85</v>
      </c>
      <c r="B24" s="163"/>
      <c r="C24" s="25">
        <v>1</v>
      </c>
      <c r="D24" s="25" t="s">
        <v>57</v>
      </c>
      <c r="E24" s="26">
        <v>45047</v>
      </c>
      <c r="F24" s="25"/>
      <c r="G24" s="30">
        <f t="shared" si="0"/>
        <v>1</v>
      </c>
      <c r="H24" s="44" t="str">
        <f t="shared" si="1"/>
        <v>Entregue</v>
      </c>
      <c r="I24" s="31" t="str">
        <f t="shared" si="2"/>
        <v>Entregue</v>
      </c>
    </row>
    <row r="25" spans="1:9" hidden="1">
      <c r="A25" s="162" t="s">
        <v>86</v>
      </c>
      <c r="B25" s="163"/>
      <c r="C25" s="25">
        <v>1</v>
      </c>
      <c r="D25" s="25" t="s">
        <v>59</v>
      </c>
      <c r="E25" s="26">
        <v>45069</v>
      </c>
      <c r="F25" s="25" t="s">
        <v>12</v>
      </c>
      <c r="G25" s="30">
        <f t="shared" si="0"/>
        <v>1</v>
      </c>
      <c r="H25" s="44" t="str">
        <f t="shared" si="1"/>
        <v>Entregue</v>
      </c>
      <c r="I25" s="31" t="str">
        <f t="shared" si="2"/>
        <v>Entregue</v>
      </c>
    </row>
    <row r="26" spans="1:9">
      <c r="A26" s="162" t="s">
        <v>87</v>
      </c>
      <c r="B26" s="163"/>
      <c r="C26" s="25">
        <v>0</v>
      </c>
      <c r="D26" s="25" t="s">
        <v>55</v>
      </c>
      <c r="E26" s="26"/>
      <c r="F26" s="25" t="s">
        <v>120</v>
      </c>
      <c r="G26" s="30">
        <f t="shared" si="0"/>
        <v>0</v>
      </c>
      <c r="H26" s="44" t="str">
        <f t="shared" si="1"/>
        <v>Não Entregue</v>
      </c>
      <c r="I26" s="31" t="s">
        <v>124</v>
      </c>
    </row>
    <row r="27" spans="1:9" hidden="1">
      <c r="A27" s="162" t="s">
        <v>88</v>
      </c>
      <c r="B27" s="163"/>
      <c r="C27" s="25">
        <v>1</v>
      </c>
      <c r="D27" s="25" t="s">
        <v>55</v>
      </c>
      <c r="E27" s="26">
        <v>45065</v>
      </c>
      <c r="F27" s="25"/>
      <c r="G27" s="30">
        <f t="shared" si="0"/>
        <v>1</v>
      </c>
      <c r="H27" s="44" t="str">
        <f t="shared" si="1"/>
        <v>Entregue</v>
      </c>
      <c r="I27" s="31" t="str">
        <f>H27</f>
        <v>Entregue</v>
      </c>
    </row>
    <row r="28" spans="1:9">
      <c r="A28" s="162" t="s">
        <v>89</v>
      </c>
      <c r="B28" s="163"/>
      <c r="C28" s="25">
        <v>0</v>
      </c>
      <c r="D28" s="25" t="s">
        <v>57</v>
      </c>
      <c r="E28" s="25"/>
      <c r="F28" s="25" t="s">
        <v>118</v>
      </c>
      <c r="G28" s="30">
        <f t="shared" si="0"/>
        <v>0</v>
      </c>
      <c r="H28" s="44" t="str">
        <f t="shared" si="1"/>
        <v>Não Entregue</v>
      </c>
      <c r="I28" s="31" t="s">
        <v>125</v>
      </c>
    </row>
    <row r="29" spans="1:9">
      <c r="A29" s="162" t="s">
        <v>90</v>
      </c>
      <c r="B29" s="163"/>
      <c r="C29" s="25">
        <v>0</v>
      </c>
      <c r="D29" s="25" t="s">
        <v>55</v>
      </c>
      <c r="E29" s="25"/>
      <c r="F29" s="25" t="s">
        <v>118</v>
      </c>
      <c r="G29" s="30">
        <f t="shared" si="0"/>
        <v>0</v>
      </c>
      <c r="H29" s="44" t="str">
        <f t="shared" si="1"/>
        <v>Não Entregue</v>
      </c>
      <c r="I29" s="31" t="s">
        <v>125</v>
      </c>
    </row>
    <row r="30" spans="1:9">
      <c r="A30" s="162" t="s">
        <v>91</v>
      </c>
      <c r="B30" s="163"/>
      <c r="C30" s="25">
        <v>0</v>
      </c>
      <c r="D30" s="25" t="s">
        <v>56</v>
      </c>
      <c r="E30" s="25"/>
      <c r="F30" s="25" t="s">
        <v>119</v>
      </c>
      <c r="G30" s="30">
        <f t="shared" si="0"/>
        <v>0</v>
      </c>
      <c r="H30" s="44" t="str">
        <f t="shared" si="1"/>
        <v>Não Entregue</v>
      </c>
      <c r="I30" s="31" t="s">
        <v>124</v>
      </c>
    </row>
    <row r="31" spans="1:9">
      <c r="A31" s="164" t="s">
        <v>92</v>
      </c>
      <c r="B31" s="165"/>
      <c r="C31" s="25">
        <v>0</v>
      </c>
      <c r="D31" s="25" t="s">
        <v>56</v>
      </c>
      <c r="E31" s="25"/>
      <c r="F31" s="25" t="s">
        <v>121</v>
      </c>
      <c r="G31" s="30">
        <f t="shared" si="0"/>
        <v>0</v>
      </c>
      <c r="H31" s="44" t="str">
        <f t="shared" si="1"/>
        <v>Não Entregue</v>
      </c>
      <c r="I31" s="31" t="s">
        <v>125</v>
      </c>
    </row>
    <row r="32" spans="1:9" hidden="1">
      <c r="A32" s="162" t="s">
        <v>93</v>
      </c>
      <c r="B32" s="163"/>
      <c r="C32" s="25">
        <v>1</v>
      </c>
      <c r="D32" s="25" t="s">
        <v>56</v>
      </c>
      <c r="E32" s="26">
        <v>45069</v>
      </c>
      <c r="F32" s="25" t="s">
        <v>122</v>
      </c>
      <c r="G32" s="30">
        <f t="shared" si="0"/>
        <v>1</v>
      </c>
      <c r="H32" s="44" t="str">
        <f t="shared" si="1"/>
        <v>Entregue</v>
      </c>
      <c r="I32" s="31" t="str">
        <f>H32</f>
        <v>Entregue</v>
      </c>
    </row>
    <row r="33" spans="1:9" hidden="1">
      <c r="A33" s="162" t="s">
        <v>26</v>
      </c>
      <c r="B33" s="163"/>
      <c r="C33" s="25">
        <v>1</v>
      </c>
      <c r="D33" s="25" t="s">
        <v>56</v>
      </c>
      <c r="E33" s="26">
        <v>45062</v>
      </c>
      <c r="F33" s="25" t="s">
        <v>120</v>
      </c>
      <c r="G33" s="30">
        <f t="shared" si="0"/>
        <v>1</v>
      </c>
      <c r="H33" s="44" t="str">
        <f t="shared" si="1"/>
        <v>Entregue</v>
      </c>
      <c r="I33" s="31" t="str">
        <f>H33</f>
        <v>Entregue</v>
      </c>
    </row>
    <row r="34" spans="1:9" hidden="1">
      <c r="A34" s="162" t="s">
        <v>94</v>
      </c>
      <c r="B34" s="163"/>
      <c r="C34" s="25">
        <v>1</v>
      </c>
      <c r="D34" s="25" t="s">
        <v>56</v>
      </c>
      <c r="E34" s="26">
        <v>45062</v>
      </c>
      <c r="F34" s="25" t="s">
        <v>120</v>
      </c>
      <c r="G34" s="30">
        <f t="shared" si="0"/>
        <v>1</v>
      </c>
      <c r="H34" s="44" t="str">
        <f t="shared" si="1"/>
        <v>Entregue</v>
      </c>
      <c r="I34" s="31" t="str">
        <f>H34</f>
        <v>Entregue</v>
      </c>
    </row>
    <row r="35" spans="1:9" hidden="1">
      <c r="A35" s="162" t="s">
        <v>95</v>
      </c>
      <c r="B35" s="163"/>
      <c r="C35" s="25">
        <v>1</v>
      </c>
      <c r="D35" s="25" t="s">
        <v>56</v>
      </c>
      <c r="E35" s="26">
        <v>45062</v>
      </c>
      <c r="F35" s="25" t="s">
        <v>119</v>
      </c>
      <c r="G35" s="30">
        <f t="shared" si="0"/>
        <v>1</v>
      </c>
      <c r="H35" s="44" t="str">
        <f t="shared" si="1"/>
        <v>Entregue</v>
      </c>
      <c r="I35" s="31" t="str">
        <f>H35</f>
        <v>Entregue</v>
      </c>
    </row>
    <row r="36" spans="1:9" hidden="1">
      <c r="A36" s="162" t="s">
        <v>96</v>
      </c>
      <c r="B36" s="163"/>
      <c r="C36" s="25">
        <v>1</v>
      </c>
      <c r="D36" s="25" t="s">
        <v>56</v>
      </c>
      <c r="E36" s="26">
        <v>45062</v>
      </c>
      <c r="F36" s="25" t="s">
        <v>120</v>
      </c>
      <c r="G36" s="30">
        <f t="shared" si="0"/>
        <v>1</v>
      </c>
      <c r="H36" s="44" t="str">
        <f t="shared" si="1"/>
        <v>Entregue</v>
      </c>
      <c r="I36" s="31" t="str">
        <f>H36</f>
        <v>Entregue</v>
      </c>
    </row>
    <row r="37" spans="1:9">
      <c r="A37" s="162" t="s">
        <v>97</v>
      </c>
      <c r="B37" s="163"/>
      <c r="C37" s="25">
        <v>0</v>
      </c>
      <c r="D37" s="25" t="s">
        <v>57</v>
      </c>
      <c r="E37" s="25"/>
      <c r="F37" s="25" t="s">
        <v>121</v>
      </c>
      <c r="G37" s="30">
        <f t="shared" si="0"/>
        <v>0</v>
      </c>
      <c r="H37" s="44" t="str">
        <f t="shared" si="1"/>
        <v>Não Entregue</v>
      </c>
      <c r="I37" s="31" t="s">
        <v>125</v>
      </c>
    </row>
    <row r="38" spans="1:9" hidden="1">
      <c r="A38" s="162" t="s">
        <v>98</v>
      </c>
      <c r="B38" s="163"/>
      <c r="C38" s="25">
        <v>1</v>
      </c>
      <c r="D38" s="25" t="s">
        <v>56</v>
      </c>
      <c r="E38" s="26">
        <v>45047</v>
      </c>
      <c r="F38" s="25" t="s">
        <v>121</v>
      </c>
      <c r="G38" s="30">
        <f t="shared" si="0"/>
        <v>1</v>
      </c>
      <c r="H38" s="44" t="str">
        <f t="shared" si="1"/>
        <v>Entregue</v>
      </c>
      <c r="I38" s="31" t="str">
        <f>H38</f>
        <v>Entregue</v>
      </c>
    </row>
    <row r="39" spans="1:9">
      <c r="A39" s="164" t="s">
        <v>99</v>
      </c>
      <c r="B39" s="165"/>
      <c r="C39" s="25">
        <v>0</v>
      </c>
      <c r="D39" s="25" t="s">
        <v>57</v>
      </c>
      <c r="E39" s="25"/>
      <c r="F39" s="25" t="s">
        <v>121</v>
      </c>
      <c r="G39" s="30">
        <f t="shared" si="0"/>
        <v>0</v>
      </c>
      <c r="H39" s="44" t="str">
        <f t="shared" si="1"/>
        <v>Não Entregue</v>
      </c>
      <c r="I39" s="31" t="s">
        <v>125</v>
      </c>
    </row>
    <row r="40" spans="1:9">
      <c r="A40" s="162" t="s">
        <v>100</v>
      </c>
      <c r="B40" s="163"/>
      <c r="C40" s="25">
        <v>0</v>
      </c>
      <c r="D40" s="25" t="s">
        <v>57</v>
      </c>
      <c r="E40" s="25"/>
      <c r="F40" s="25" t="s">
        <v>121</v>
      </c>
      <c r="G40" s="30">
        <f t="shared" si="0"/>
        <v>0</v>
      </c>
      <c r="H40" s="44" t="str">
        <f t="shared" si="1"/>
        <v>Não Entregue</v>
      </c>
      <c r="I40" s="31" t="s">
        <v>125</v>
      </c>
    </row>
    <row r="41" spans="1:9" hidden="1">
      <c r="A41" s="162" t="s">
        <v>101</v>
      </c>
      <c r="B41" s="163"/>
      <c r="C41" s="25">
        <v>1</v>
      </c>
      <c r="D41" s="25" t="s">
        <v>57</v>
      </c>
      <c r="E41" s="26">
        <v>45069</v>
      </c>
      <c r="F41" s="25" t="s">
        <v>12</v>
      </c>
      <c r="G41" s="30">
        <f t="shared" si="0"/>
        <v>1</v>
      </c>
      <c r="H41" s="44" t="str">
        <f t="shared" si="1"/>
        <v>Entregue</v>
      </c>
      <c r="I41" s="31" t="str">
        <f>H41</f>
        <v>Entregue</v>
      </c>
    </row>
    <row r="42" spans="1:9" hidden="1">
      <c r="A42" s="162" t="s">
        <v>102</v>
      </c>
      <c r="B42" s="163"/>
      <c r="C42" s="25">
        <v>1</v>
      </c>
      <c r="D42" s="25" t="s">
        <v>55</v>
      </c>
      <c r="E42" s="26">
        <v>45069</v>
      </c>
      <c r="F42" s="25" t="s">
        <v>12</v>
      </c>
      <c r="G42" s="30">
        <f t="shared" si="0"/>
        <v>1</v>
      </c>
      <c r="H42" s="44" t="str">
        <f t="shared" si="1"/>
        <v>Entregue</v>
      </c>
      <c r="I42" s="31" t="str">
        <f>H42</f>
        <v>Entregue</v>
      </c>
    </row>
    <row r="43" spans="1:9">
      <c r="A43" s="162" t="s">
        <v>103</v>
      </c>
      <c r="B43" s="163"/>
      <c r="C43" s="25">
        <v>0</v>
      </c>
      <c r="D43" s="25" t="s">
        <v>56</v>
      </c>
      <c r="E43" s="25"/>
      <c r="F43" s="25" t="s">
        <v>118</v>
      </c>
      <c r="G43" s="30">
        <f t="shared" si="0"/>
        <v>0</v>
      </c>
      <c r="H43" s="44" t="str">
        <f t="shared" si="1"/>
        <v>Não Entregue</v>
      </c>
      <c r="I43" s="31" t="s">
        <v>125</v>
      </c>
    </row>
    <row r="44" spans="1:9" hidden="1">
      <c r="A44" s="162" t="s">
        <v>104</v>
      </c>
      <c r="B44" s="163"/>
      <c r="C44" s="25">
        <v>1</v>
      </c>
      <c r="D44" s="25" t="s">
        <v>55</v>
      </c>
      <c r="E44" s="26">
        <v>45065</v>
      </c>
      <c r="F44" s="25" t="s">
        <v>120</v>
      </c>
      <c r="G44" s="30">
        <f t="shared" si="0"/>
        <v>1</v>
      </c>
      <c r="H44" s="44" t="str">
        <f t="shared" si="1"/>
        <v>Entregue</v>
      </c>
      <c r="I44" s="31" t="str">
        <f>H44</f>
        <v>Entregue</v>
      </c>
    </row>
    <row r="45" spans="1:9">
      <c r="A45" s="162" t="s">
        <v>105</v>
      </c>
      <c r="B45" s="163"/>
      <c r="C45" s="25">
        <v>0</v>
      </c>
      <c r="D45" s="25" t="s">
        <v>55</v>
      </c>
      <c r="E45" s="25"/>
      <c r="F45" s="25" t="s">
        <v>118</v>
      </c>
      <c r="G45" s="30">
        <f t="shared" si="0"/>
        <v>0</v>
      </c>
      <c r="H45" s="44" t="str">
        <f t="shared" si="1"/>
        <v>Não Entregue</v>
      </c>
      <c r="I45" s="31" t="s">
        <v>125</v>
      </c>
    </row>
    <row r="46" spans="1:9" hidden="1">
      <c r="A46" s="162" t="s">
        <v>106</v>
      </c>
      <c r="B46" s="163"/>
      <c r="C46" s="25">
        <v>1</v>
      </c>
      <c r="D46" s="25" t="s">
        <v>57</v>
      </c>
      <c r="E46" s="26">
        <v>45064</v>
      </c>
      <c r="F46" s="25" t="s">
        <v>119</v>
      </c>
      <c r="G46" s="30">
        <f t="shared" si="0"/>
        <v>1</v>
      </c>
      <c r="H46" s="44" t="str">
        <f t="shared" si="1"/>
        <v>Entregue</v>
      </c>
      <c r="I46" s="31" t="str">
        <f>H46</f>
        <v>Entregue</v>
      </c>
    </row>
    <row r="47" spans="1:9" hidden="1">
      <c r="A47" s="162" t="s">
        <v>107</v>
      </c>
      <c r="B47" s="163"/>
      <c r="C47" s="25">
        <v>1</v>
      </c>
      <c r="D47" s="25" t="s">
        <v>57</v>
      </c>
      <c r="E47" s="26">
        <v>45062</v>
      </c>
      <c r="F47" s="25" t="s">
        <v>119</v>
      </c>
      <c r="G47" s="30">
        <f t="shared" si="0"/>
        <v>1</v>
      </c>
      <c r="H47" s="44" t="str">
        <f t="shared" si="1"/>
        <v>Entregue</v>
      </c>
      <c r="I47" s="31" t="str">
        <f>H47</f>
        <v>Entregue</v>
      </c>
    </row>
    <row r="48" spans="1:9" hidden="1">
      <c r="A48" s="162" t="s">
        <v>108</v>
      </c>
      <c r="B48" s="163"/>
      <c r="C48" s="25">
        <v>1</v>
      </c>
      <c r="D48" s="25" t="s">
        <v>56</v>
      </c>
      <c r="E48" s="26">
        <v>45064</v>
      </c>
      <c r="F48" s="25" t="s">
        <v>120</v>
      </c>
      <c r="G48" s="30">
        <f t="shared" si="0"/>
        <v>1</v>
      </c>
      <c r="H48" s="44" t="str">
        <f t="shared" si="1"/>
        <v>Entregue</v>
      </c>
      <c r="I48" s="31" t="str">
        <f>H48</f>
        <v>Entregue</v>
      </c>
    </row>
  </sheetData>
  <autoFilter ref="F12:H48" xr:uid="{BD08B66A-E4E1-4330-8488-E4830332AB32}">
    <filterColumn colId="2">
      <filters>
        <filter val="Não Entregue"/>
      </filters>
    </filterColumn>
  </autoFilter>
  <mergeCells count="38">
    <mergeCell ref="A41:B41"/>
    <mergeCell ref="A42:B42"/>
    <mergeCell ref="A48:B48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:A11"/>
    <mergeCell ref="A12:B12"/>
    <mergeCell ref="A13:B13"/>
    <mergeCell ref="A14:B14"/>
    <mergeCell ref="A15:B15"/>
  </mergeCells>
  <conditionalFormatting sqref="G13:G48">
    <cfRule type="iconSet" priority="1">
      <iconSet showValue="0">
        <cfvo type="percent" val="0"/>
        <cfvo type="num" val="0" gte="0"/>
        <cfvo type="num" val="1"/>
      </iconSet>
    </cfRule>
  </conditionalFormatting>
  <dataValidations count="1">
    <dataValidation type="list" allowBlank="1" showInputMessage="1" showErrorMessage="1" sqref="F13:F48" xr:uid="{73B0C03E-6E58-48F0-BA77-3C597480D065}">
      <formula1>"Eduardo Eller, Túlio Morais, Paulo Paiva, Lucas Ferraz, Leonardo, Bruno"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5467-604A-455D-803E-7B9652713C48}">
  <dimension ref="A1:J39"/>
  <sheetViews>
    <sheetView workbookViewId="0">
      <selection activeCell="D2" sqref="D1:D1048576"/>
    </sheetView>
  </sheetViews>
  <sheetFormatPr defaultRowHeight="13"/>
  <cols>
    <col min="1" max="1" width="10" bestFit="1" customWidth="1"/>
    <col min="3" max="3" width="26.8984375" bestFit="1" customWidth="1"/>
    <col min="4" max="4" width="12.59765625" bestFit="1" customWidth="1"/>
    <col min="5" max="5" width="7.8984375" bestFit="1" customWidth="1"/>
    <col min="6" max="6" width="6.59765625" bestFit="1" customWidth="1"/>
    <col min="7" max="7" width="9.8984375" customWidth="1"/>
    <col min="8" max="8" width="8.3984375" bestFit="1" customWidth="1"/>
    <col min="9" max="9" width="11.59765625" customWidth="1"/>
    <col min="10" max="10" width="13.296875" bestFit="1" customWidth="1"/>
  </cols>
  <sheetData>
    <row r="1" spans="1:10" ht="48" customHeight="1">
      <c r="A1" s="166"/>
      <c r="B1" s="166"/>
      <c r="C1" s="166"/>
      <c r="D1" s="166"/>
      <c r="E1" s="166"/>
      <c r="F1" s="166"/>
      <c r="G1" s="166"/>
      <c r="H1" s="166"/>
      <c r="I1" s="166"/>
      <c r="J1" s="166"/>
    </row>
    <row r="2" spans="1:10" s="105" customFormat="1" ht="26">
      <c r="A2" s="100" t="s">
        <v>51</v>
      </c>
      <c r="B2" s="101" t="s">
        <v>60</v>
      </c>
      <c r="C2" s="101" t="s">
        <v>63</v>
      </c>
      <c r="D2" s="101" t="s">
        <v>67</v>
      </c>
      <c r="E2" s="101" t="s">
        <v>196</v>
      </c>
      <c r="F2" s="101" t="s">
        <v>71</v>
      </c>
      <c r="G2" s="146" t="s">
        <v>197</v>
      </c>
      <c r="H2" s="102" t="s">
        <v>198</v>
      </c>
      <c r="I2" s="103" t="s">
        <v>132</v>
      </c>
      <c r="J2" s="104" t="s">
        <v>133</v>
      </c>
    </row>
    <row r="3" spans="1:10" ht="15.5">
      <c r="A3" s="81" t="s">
        <v>52</v>
      </c>
      <c r="B3" s="82" t="s">
        <v>55</v>
      </c>
      <c r="C3" s="81" t="s">
        <v>61</v>
      </c>
      <c r="D3" s="81" t="s">
        <v>64</v>
      </c>
      <c r="E3" s="83">
        <v>0</v>
      </c>
      <c r="F3" s="84">
        <v>0</v>
      </c>
      <c r="G3" s="85">
        <v>30</v>
      </c>
      <c r="H3" s="86">
        <f>G3/3</f>
        <v>10</v>
      </c>
      <c r="I3" s="97">
        <v>50.7</v>
      </c>
      <c r="J3" s="98">
        <f>I3*G3</f>
        <v>1521</v>
      </c>
    </row>
    <row r="4" spans="1:10" ht="15.5">
      <c r="A4" s="81" t="s">
        <v>52</v>
      </c>
      <c r="B4" s="82" t="s">
        <v>56</v>
      </c>
      <c r="C4" s="81" t="s">
        <v>61</v>
      </c>
      <c r="D4" s="81" t="s">
        <v>64</v>
      </c>
      <c r="E4" s="83">
        <v>0</v>
      </c>
      <c r="F4" s="87">
        <v>0</v>
      </c>
      <c r="G4" s="85">
        <v>30</v>
      </c>
      <c r="H4" s="86">
        <f t="shared" ref="H4:H8" si="0">G4/3</f>
        <v>10</v>
      </c>
      <c r="I4" s="97">
        <v>50.7</v>
      </c>
      <c r="J4" s="98">
        <f t="shared" ref="J4:J38" si="1">I4*G4</f>
        <v>1521</v>
      </c>
    </row>
    <row r="5" spans="1:10" ht="15.5">
      <c r="A5" s="81" t="s">
        <v>52</v>
      </c>
      <c r="B5" s="82" t="s">
        <v>57</v>
      </c>
      <c r="C5" s="81" t="s">
        <v>61</v>
      </c>
      <c r="D5" s="81" t="s">
        <v>64</v>
      </c>
      <c r="E5" s="83">
        <v>5</v>
      </c>
      <c r="F5" s="84">
        <v>5</v>
      </c>
      <c r="G5" s="85">
        <v>7</v>
      </c>
      <c r="H5" s="86">
        <f t="shared" si="0"/>
        <v>2.3333333333333335</v>
      </c>
      <c r="I5" s="97">
        <v>50.7</v>
      </c>
      <c r="J5" s="98">
        <f t="shared" si="1"/>
        <v>354.90000000000003</v>
      </c>
    </row>
    <row r="6" spans="1:10" ht="15.5">
      <c r="A6" s="81" t="s">
        <v>52</v>
      </c>
      <c r="B6" s="82" t="s">
        <v>58</v>
      </c>
      <c r="C6" s="81" t="s">
        <v>61</v>
      </c>
      <c r="D6" s="81" t="s">
        <v>64</v>
      </c>
      <c r="E6" s="83">
        <v>5</v>
      </c>
      <c r="F6" s="84">
        <v>5</v>
      </c>
      <c r="G6" s="85">
        <v>7</v>
      </c>
      <c r="H6" s="86">
        <f t="shared" si="0"/>
        <v>2.3333333333333335</v>
      </c>
      <c r="I6" s="97">
        <v>50.7</v>
      </c>
      <c r="J6" s="98">
        <f t="shared" si="1"/>
        <v>354.90000000000003</v>
      </c>
    </row>
    <row r="7" spans="1:10" ht="15.5">
      <c r="A7" s="81" t="s">
        <v>52</v>
      </c>
      <c r="B7" s="82" t="s">
        <v>59</v>
      </c>
      <c r="C7" s="81" t="s">
        <v>61</v>
      </c>
      <c r="D7" s="81" t="s">
        <v>64</v>
      </c>
      <c r="E7" s="83">
        <v>1</v>
      </c>
      <c r="F7" s="84">
        <v>1</v>
      </c>
      <c r="G7" s="85">
        <v>7</v>
      </c>
      <c r="H7" s="86">
        <f t="shared" si="0"/>
        <v>2.3333333333333335</v>
      </c>
      <c r="I7" s="97">
        <v>50.7</v>
      </c>
      <c r="J7" s="98">
        <f t="shared" si="1"/>
        <v>354.90000000000003</v>
      </c>
    </row>
    <row r="8" spans="1:10" ht="15.5">
      <c r="A8" s="81" t="s">
        <v>52</v>
      </c>
      <c r="B8" s="88" t="s">
        <v>126</v>
      </c>
      <c r="C8" s="81" t="s">
        <v>61</v>
      </c>
      <c r="D8" s="81" t="s">
        <v>64</v>
      </c>
      <c r="E8" s="83">
        <v>3</v>
      </c>
      <c r="F8" s="84">
        <v>3</v>
      </c>
      <c r="G8" s="85">
        <v>0</v>
      </c>
      <c r="H8" s="86">
        <f t="shared" si="0"/>
        <v>0</v>
      </c>
      <c r="I8" s="97">
        <v>50.7</v>
      </c>
      <c r="J8" s="98">
        <f t="shared" si="1"/>
        <v>0</v>
      </c>
    </row>
    <row r="9" spans="1:10" ht="15.5">
      <c r="A9" s="17" t="s">
        <v>52</v>
      </c>
      <c r="B9" s="18" t="s">
        <v>55</v>
      </c>
      <c r="C9" s="46" t="s">
        <v>128</v>
      </c>
      <c r="D9" s="17" t="s">
        <v>66</v>
      </c>
      <c r="E9" s="20">
        <v>7</v>
      </c>
      <c r="F9" s="13">
        <v>7</v>
      </c>
      <c r="G9" s="56">
        <v>36</v>
      </c>
      <c r="H9" s="61">
        <f>G9/3</f>
        <v>12</v>
      </c>
      <c r="I9" s="97">
        <v>79.8</v>
      </c>
      <c r="J9" s="98">
        <f t="shared" si="1"/>
        <v>2872.7999999999997</v>
      </c>
    </row>
    <row r="10" spans="1:10" ht="15.5">
      <c r="A10" s="17" t="s">
        <v>52</v>
      </c>
      <c r="B10" s="18" t="s">
        <v>56</v>
      </c>
      <c r="C10" s="46" t="s">
        <v>128</v>
      </c>
      <c r="D10" s="17" t="s">
        <v>66</v>
      </c>
      <c r="E10" s="20">
        <v>3</v>
      </c>
      <c r="F10" s="13">
        <v>3</v>
      </c>
      <c r="G10" s="56">
        <v>36</v>
      </c>
      <c r="H10" s="61">
        <f t="shared" ref="H10:H14" si="2">G10/3</f>
        <v>12</v>
      </c>
      <c r="I10" s="97">
        <v>79.8</v>
      </c>
      <c r="J10" s="98">
        <f t="shared" si="1"/>
        <v>2872.7999999999997</v>
      </c>
    </row>
    <row r="11" spans="1:10" ht="15.5">
      <c r="A11" s="17" t="s">
        <v>52</v>
      </c>
      <c r="B11" s="18" t="s">
        <v>57</v>
      </c>
      <c r="C11" s="46" t="s">
        <v>128</v>
      </c>
      <c r="D11" s="17" t="s">
        <v>66</v>
      </c>
      <c r="E11" s="20">
        <v>5</v>
      </c>
      <c r="F11" s="13">
        <v>5</v>
      </c>
      <c r="G11" s="56">
        <v>36</v>
      </c>
      <c r="H11" s="61">
        <f t="shared" si="2"/>
        <v>12</v>
      </c>
      <c r="I11" s="97">
        <v>79.8</v>
      </c>
      <c r="J11" s="98">
        <f t="shared" si="1"/>
        <v>2872.7999999999997</v>
      </c>
    </row>
    <row r="12" spans="1:10" ht="15.5">
      <c r="A12" s="17" t="s">
        <v>52</v>
      </c>
      <c r="B12" s="18" t="s">
        <v>58</v>
      </c>
      <c r="C12" s="46" t="s">
        <v>128</v>
      </c>
      <c r="D12" s="17" t="s">
        <v>66</v>
      </c>
      <c r="E12" s="20">
        <v>7</v>
      </c>
      <c r="F12" s="13">
        <v>7</v>
      </c>
      <c r="G12" s="56">
        <v>24</v>
      </c>
      <c r="H12" s="61">
        <f t="shared" si="2"/>
        <v>8</v>
      </c>
      <c r="I12" s="97">
        <v>79.8</v>
      </c>
      <c r="J12" s="98">
        <f t="shared" si="1"/>
        <v>1915.1999999999998</v>
      </c>
    </row>
    <row r="13" spans="1:10" ht="15.5">
      <c r="A13" s="17" t="s">
        <v>52</v>
      </c>
      <c r="B13" s="18" t="s">
        <v>59</v>
      </c>
      <c r="C13" s="46" t="s">
        <v>128</v>
      </c>
      <c r="D13" s="17" t="s">
        <v>66</v>
      </c>
      <c r="E13" s="20">
        <v>6</v>
      </c>
      <c r="F13" s="13">
        <v>6</v>
      </c>
      <c r="G13" s="56">
        <v>12</v>
      </c>
      <c r="H13" s="61">
        <f t="shared" si="2"/>
        <v>4</v>
      </c>
      <c r="I13" s="97">
        <v>79.8</v>
      </c>
      <c r="J13" s="98">
        <f t="shared" si="1"/>
        <v>957.59999999999991</v>
      </c>
    </row>
    <row r="14" spans="1:10" ht="15.5">
      <c r="A14" s="46" t="s">
        <v>52</v>
      </c>
      <c r="B14" s="47" t="s">
        <v>126</v>
      </c>
      <c r="C14" s="46" t="s">
        <v>128</v>
      </c>
      <c r="D14" s="46" t="s">
        <v>66</v>
      </c>
      <c r="E14" s="20">
        <v>2</v>
      </c>
      <c r="F14" s="13">
        <v>2</v>
      </c>
      <c r="G14" s="56">
        <v>12</v>
      </c>
      <c r="H14" s="61">
        <f t="shared" si="2"/>
        <v>4</v>
      </c>
      <c r="I14" s="97">
        <v>79.8</v>
      </c>
      <c r="J14" s="98">
        <f t="shared" si="1"/>
        <v>957.59999999999991</v>
      </c>
    </row>
    <row r="15" spans="1:10" ht="15.5">
      <c r="A15" s="81" t="s">
        <v>52</v>
      </c>
      <c r="B15" s="83" t="s">
        <v>55</v>
      </c>
      <c r="C15" s="89" t="s">
        <v>129</v>
      </c>
      <c r="D15" s="90" t="s">
        <v>64</v>
      </c>
      <c r="E15" s="91">
        <v>0</v>
      </c>
      <c r="F15" s="84">
        <v>0</v>
      </c>
      <c r="G15" s="85">
        <v>36</v>
      </c>
      <c r="H15" s="86">
        <f>G15/3</f>
        <v>12</v>
      </c>
      <c r="I15" s="97">
        <v>77.8</v>
      </c>
      <c r="J15" s="98">
        <f t="shared" si="1"/>
        <v>2800.7999999999997</v>
      </c>
    </row>
    <row r="16" spans="1:10" ht="15.5">
      <c r="A16" s="92" t="s">
        <v>52</v>
      </c>
      <c r="B16" s="93" t="s">
        <v>56</v>
      </c>
      <c r="C16" s="92" t="s">
        <v>129</v>
      </c>
      <c r="D16" s="90" t="s">
        <v>64</v>
      </c>
      <c r="E16" s="91">
        <v>0</v>
      </c>
      <c r="F16" s="84"/>
      <c r="G16" s="85">
        <v>36</v>
      </c>
      <c r="H16" s="86">
        <f t="shared" ref="H16:H20" si="3">G16/3</f>
        <v>12</v>
      </c>
      <c r="I16" s="97">
        <v>77.8</v>
      </c>
      <c r="J16" s="98">
        <f t="shared" si="1"/>
        <v>2800.7999999999997</v>
      </c>
    </row>
    <row r="17" spans="1:10" ht="15.5">
      <c r="A17" s="81" t="s">
        <v>52</v>
      </c>
      <c r="B17" s="94" t="s">
        <v>57</v>
      </c>
      <c r="C17" s="89" t="s">
        <v>129</v>
      </c>
      <c r="D17" s="90" t="s">
        <v>64</v>
      </c>
      <c r="E17" s="91">
        <v>2</v>
      </c>
      <c r="F17" s="84">
        <v>2</v>
      </c>
      <c r="G17" s="85">
        <v>24</v>
      </c>
      <c r="H17" s="86">
        <f t="shared" si="3"/>
        <v>8</v>
      </c>
      <c r="I17" s="97">
        <v>77.8</v>
      </c>
      <c r="J17" s="98">
        <f t="shared" si="1"/>
        <v>1867.1999999999998</v>
      </c>
    </row>
    <row r="18" spans="1:10" ht="15.5">
      <c r="A18" s="81" t="s">
        <v>52</v>
      </c>
      <c r="B18" s="95" t="s">
        <v>58</v>
      </c>
      <c r="C18" s="89" t="s">
        <v>129</v>
      </c>
      <c r="D18" s="90" t="s">
        <v>64</v>
      </c>
      <c r="E18" s="91">
        <v>0</v>
      </c>
      <c r="F18" s="84">
        <v>0</v>
      </c>
      <c r="G18" s="85">
        <v>24</v>
      </c>
      <c r="H18" s="86">
        <f t="shared" si="3"/>
        <v>8</v>
      </c>
      <c r="I18" s="97">
        <v>77.8</v>
      </c>
      <c r="J18" s="98">
        <f t="shared" si="1"/>
        <v>1867.1999999999998</v>
      </c>
    </row>
    <row r="19" spans="1:10" ht="15.5">
      <c r="A19" s="81" t="s">
        <v>52</v>
      </c>
      <c r="B19" s="95" t="s">
        <v>59</v>
      </c>
      <c r="C19" s="89" t="s">
        <v>129</v>
      </c>
      <c r="D19" s="90" t="s">
        <v>64</v>
      </c>
      <c r="E19" s="91">
        <v>0</v>
      </c>
      <c r="F19" s="84">
        <v>0</v>
      </c>
      <c r="G19" s="85">
        <v>9</v>
      </c>
      <c r="H19" s="86">
        <f t="shared" si="3"/>
        <v>3</v>
      </c>
      <c r="I19" s="97">
        <v>77.8</v>
      </c>
      <c r="J19" s="98">
        <f t="shared" si="1"/>
        <v>700.19999999999993</v>
      </c>
    </row>
    <row r="20" spans="1:10" ht="15.5">
      <c r="A20" s="81" t="s">
        <v>52</v>
      </c>
      <c r="B20" s="95" t="s">
        <v>126</v>
      </c>
      <c r="C20" s="89" t="s">
        <v>129</v>
      </c>
      <c r="D20" s="90" t="s">
        <v>64</v>
      </c>
      <c r="E20" s="91">
        <v>0</v>
      </c>
      <c r="F20" s="84">
        <v>0</v>
      </c>
      <c r="G20" s="85">
        <v>9</v>
      </c>
      <c r="H20" s="86">
        <f t="shared" si="3"/>
        <v>3</v>
      </c>
      <c r="I20" s="97">
        <v>77.8</v>
      </c>
      <c r="J20" s="98">
        <f t="shared" si="1"/>
        <v>700.19999999999993</v>
      </c>
    </row>
    <row r="21" spans="1:10" ht="15.5">
      <c r="A21" s="17" t="s">
        <v>53</v>
      </c>
      <c r="B21" s="18" t="s">
        <v>55</v>
      </c>
      <c r="C21" s="17" t="s">
        <v>61</v>
      </c>
      <c r="D21" s="17" t="s">
        <v>64</v>
      </c>
      <c r="E21" s="20">
        <v>6</v>
      </c>
      <c r="F21" s="13">
        <v>6</v>
      </c>
      <c r="G21" s="56">
        <v>6</v>
      </c>
      <c r="H21" s="61">
        <f>G21/3</f>
        <v>2</v>
      </c>
      <c r="I21" s="97">
        <v>50.7</v>
      </c>
      <c r="J21" s="98">
        <f t="shared" si="1"/>
        <v>304.20000000000005</v>
      </c>
    </row>
    <row r="22" spans="1:10" ht="15.5">
      <c r="A22" s="17" t="s">
        <v>53</v>
      </c>
      <c r="B22" s="18" t="s">
        <v>56</v>
      </c>
      <c r="C22" s="17" t="s">
        <v>61</v>
      </c>
      <c r="D22" s="17" t="s">
        <v>64</v>
      </c>
      <c r="E22" s="20">
        <v>6</v>
      </c>
      <c r="F22" s="13">
        <v>6</v>
      </c>
      <c r="G22" s="56">
        <v>6</v>
      </c>
      <c r="H22" s="61">
        <f t="shared" ref="H22:H26" si="4">G22/3</f>
        <v>2</v>
      </c>
      <c r="I22" s="97">
        <v>50.7</v>
      </c>
      <c r="J22" s="98">
        <f t="shared" si="1"/>
        <v>304.20000000000005</v>
      </c>
    </row>
    <row r="23" spans="1:10" ht="15.5">
      <c r="A23" s="17" t="s">
        <v>53</v>
      </c>
      <c r="B23" s="18" t="s">
        <v>57</v>
      </c>
      <c r="C23" s="17" t="s">
        <v>61</v>
      </c>
      <c r="D23" s="17" t="s">
        <v>64</v>
      </c>
      <c r="E23" s="20">
        <v>4</v>
      </c>
      <c r="F23" s="13">
        <v>4</v>
      </c>
      <c r="G23" s="56">
        <v>8</v>
      </c>
      <c r="H23" s="61">
        <f t="shared" si="4"/>
        <v>2.6666666666666665</v>
      </c>
      <c r="I23" s="97">
        <v>50.7</v>
      </c>
      <c r="J23" s="98">
        <f t="shared" si="1"/>
        <v>405.6</v>
      </c>
    </row>
    <row r="24" spans="1:10" ht="15.5">
      <c r="A24" s="17" t="s">
        <v>53</v>
      </c>
      <c r="B24" s="18" t="s">
        <v>58</v>
      </c>
      <c r="C24" s="17" t="s">
        <v>61</v>
      </c>
      <c r="D24" s="17" t="s">
        <v>64</v>
      </c>
      <c r="E24" s="20">
        <v>4</v>
      </c>
      <c r="F24" s="13">
        <v>4</v>
      </c>
      <c r="G24" s="56">
        <v>5</v>
      </c>
      <c r="H24" s="61">
        <f t="shared" si="4"/>
        <v>1.6666666666666667</v>
      </c>
      <c r="I24" s="97">
        <v>50.7</v>
      </c>
      <c r="J24" s="98">
        <f t="shared" si="1"/>
        <v>253.5</v>
      </c>
    </row>
    <row r="25" spans="1:10" ht="15.5">
      <c r="A25" s="17" t="s">
        <v>53</v>
      </c>
      <c r="B25" s="18" t="s">
        <v>59</v>
      </c>
      <c r="C25" s="17" t="s">
        <v>61</v>
      </c>
      <c r="D25" s="17" t="s">
        <v>64</v>
      </c>
      <c r="E25" s="20">
        <v>3</v>
      </c>
      <c r="F25" s="13">
        <v>3</v>
      </c>
      <c r="G25" s="56">
        <v>3</v>
      </c>
      <c r="H25" s="61">
        <f t="shared" si="4"/>
        <v>1</v>
      </c>
      <c r="I25" s="97">
        <v>50.7</v>
      </c>
      <c r="J25" s="98">
        <f t="shared" si="1"/>
        <v>152.10000000000002</v>
      </c>
    </row>
    <row r="26" spans="1:10" ht="15.5">
      <c r="A26" s="17" t="s">
        <v>53</v>
      </c>
      <c r="B26" s="45" t="s">
        <v>126</v>
      </c>
      <c r="C26" s="17" t="s">
        <v>61</v>
      </c>
      <c r="D26" s="17" t="s">
        <v>64</v>
      </c>
      <c r="E26" s="20">
        <v>3</v>
      </c>
      <c r="F26" s="13">
        <v>3</v>
      </c>
      <c r="G26" s="56">
        <v>0</v>
      </c>
      <c r="H26" s="61">
        <f t="shared" si="4"/>
        <v>0</v>
      </c>
      <c r="I26" s="97">
        <v>50.7</v>
      </c>
      <c r="J26" s="98">
        <f t="shared" si="1"/>
        <v>0</v>
      </c>
    </row>
    <row r="27" spans="1:10" ht="15.5">
      <c r="A27" s="81" t="s">
        <v>53</v>
      </c>
      <c r="B27" s="82" t="s">
        <v>55</v>
      </c>
      <c r="C27" s="89" t="s">
        <v>128</v>
      </c>
      <c r="D27" s="81" t="s">
        <v>66</v>
      </c>
      <c r="E27" s="91">
        <v>7</v>
      </c>
      <c r="F27" s="84">
        <v>7</v>
      </c>
      <c r="G27" s="85">
        <v>11</v>
      </c>
      <c r="H27" s="86">
        <f>G27/3</f>
        <v>3.6666666666666665</v>
      </c>
      <c r="I27" s="97">
        <v>79.8</v>
      </c>
      <c r="J27" s="98">
        <f t="shared" si="1"/>
        <v>877.8</v>
      </c>
    </row>
    <row r="28" spans="1:10" ht="15.5">
      <c r="A28" s="81" t="s">
        <v>53</v>
      </c>
      <c r="B28" s="82" t="s">
        <v>56</v>
      </c>
      <c r="C28" s="89" t="s">
        <v>128</v>
      </c>
      <c r="D28" s="81" t="s">
        <v>66</v>
      </c>
      <c r="E28" s="83">
        <v>3</v>
      </c>
      <c r="F28" s="84">
        <v>3</v>
      </c>
      <c r="G28" s="85">
        <v>12</v>
      </c>
      <c r="H28" s="86">
        <f t="shared" ref="H28:H32" si="5">G28/3</f>
        <v>4</v>
      </c>
      <c r="I28" s="97">
        <v>79.8</v>
      </c>
      <c r="J28" s="98">
        <f t="shared" si="1"/>
        <v>957.59999999999991</v>
      </c>
    </row>
    <row r="29" spans="1:10" ht="15.5">
      <c r="A29" s="81" t="s">
        <v>53</v>
      </c>
      <c r="B29" s="82" t="s">
        <v>57</v>
      </c>
      <c r="C29" s="89" t="s">
        <v>128</v>
      </c>
      <c r="D29" s="81" t="s">
        <v>66</v>
      </c>
      <c r="E29" s="83">
        <v>6</v>
      </c>
      <c r="F29" s="84">
        <v>6</v>
      </c>
      <c r="G29" s="85">
        <v>6</v>
      </c>
      <c r="H29" s="86">
        <f t="shared" si="5"/>
        <v>2</v>
      </c>
      <c r="I29" s="97">
        <v>79.8</v>
      </c>
      <c r="J29" s="98">
        <f t="shared" si="1"/>
        <v>478.79999999999995</v>
      </c>
    </row>
    <row r="30" spans="1:10" ht="15.5">
      <c r="A30" s="81" t="s">
        <v>53</v>
      </c>
      <c r="B30" s="82" t="s">
        <v>58</v>
      </c>
      <c r="C30" s="89" t="s">
        <v>128</v>
      </c>
      <c r="D30" s="81" t="s">
        <v>66</v>
      </c>
      <c r="E30" s="83">
        <v>12</v>
      </c>
      <c r="F30" s="84">
        <v>12</v>
      </c>
      <c r="G30" s="85">
        <v>0</v>
      </c>
      <c r="H30" s="86">
        <f t="shared" si="5"/>
        <v>0</v>
      </c>
      <c r="I30" s="97">
        <v>79.8</v>
      </c>
      <c r="J30" s="98">
        <f t="shared" si="1"/>
        <v>0</v>
      </c>
    </row>
    <row r="31" spans="1:10" ht="15.5">
      <c r="A31" s="81" t="s">
        <v>53</v>
      </c>
      <c r="B31" s="82" t="s">
        <v>59</v>
      </c>
      <c r="C31" s="89" t="s">
        <v>128</v>
      </c>
      <c r="D31" s="81" t="s">
        <v>66</v>
      </c>
      <c r="E31" s="83">
        <v>6</v>
      </c>
      <c r="F31" s="84">
        <v>6</v>
      </c>
      <c r="G31" s="85">
        <v>6</v>
      </c>
      <c r="H31" s="86">
        <f t="shared" si="5"/>
        <v>2</v>
      </c>
      <c r="I31" s="97">
        <v>79.8</v>
      </c>
      <c r="J31" s="98">
        <f t="shared" si="1"/>
        <v>478.79999999999995</v>
      </c>
    </row>
    <row r="32" spans="1:10" ht="15.5">
      <c r="A32" s="89" t="s">
        <v>53</v>
      </c>
      <c r="B32" s="96" t="s">
        <v>126</v>
      </c>
      <c r="C32" s="89" t="s">
        <v>128</v>
      </c>
      <c r="D32" s="89" t="s">
        <v>66</v>
      </c>
      <c r="E32" s="83">
        <v>3</v>
      </c>
      <c r="F32" s="84">
        <v>3</v>
      </c>
      <c r="G32" s="85">
        <v>3</v>
      </c>
      <c r="H32" s="86">
        <f t="shared" si="5"/>
        <v>1</v>
      </c>
      <c r="I32" s="97">
        <v>79.8</v>
      </c>
      <c r="J32" s="98">
        <f t="shared" si="1"/>
        <v>239.39999999999998</v>
      </c>
    </row>
    <row r="33" spans="1:10" ht="15.5">
      <c r="A33" s="63" t="s">
        <v>53</v>
      </c>
      <c r="B33" s="19" t="s">
        <v>55</v>
      </c>
      <c r="C33" s="46" t="s">
        <v>129</v>
      </c>
      <c r="D33" s="63" t="s">
        <v>64</v>
      </c>
      <c r="E33" s="20">
        <v>0</v>
      </c>
      <c r="F33" s="13">
        <v>0</v>
      </c>
      <c r="G33" s="56">
        <v>9</v>
      </c>
      <c r="H33" s="61">
        <f>G33/3</f>
        <v>3</v>
      </c>
      <c r="I33" s="97">
        <v>77.8</v>
      </c>
      <c r="J33" s="98">
        <f t="shared" si="1"/>
        <v>700.19999999999993</v>
      </c>
    </row>
    <row r="34" spans="1:10" ht="15.5">
      <c r="A34" s="63" t="s">
        <v>53</v>
      </c>
      <c r="B34" s="52" t="s">
        <v>56</v>
      </c>
      <c r="C34" s="51" t="s">
        <v>129</v>
      </c>
      <c r="D34" s="63" t="s">
        <v>64</v>
      </c>
      <c r="E34" s="20">
        <v>0</v>
      </c>
      <c r="F34" s="13"/>
      <c r="G34" s="56">
        <v>9</v>
      </c>
      <c r="H34" s="61">
        <f t="shared" ref="H34:H38" si="6">G34/3</f>
        <v>3</v>
      </c>
      <c r="I34" s="97">
        <v>77.8</v>
      </c>
      <c r="J34" s="98">
        <f t="shared" si="1"/>
        <v>700.19999999999993</v>
      </c>
    </row>
    <row r="35" spans="1:10" ht="15.5">
      <c r="A35" s="63" t="s">
        <v>53</v>
      </c>
      <c r="B35" s="24" t="s">
        <v>57</v>
      </c>
      <c r="C35" s="46" t="s">
        <v>129</v>
      </c>
      <c r="D35" s="63" t="s">
        <v>64</v>
      </c>
      <c r="E35" s="20">
        <v>0</v>
      </c>
      <c r="F35" s="13">
        <v>2</v>
      </c>
      <c r="G35" s="56">
        <v>9</v>
      </c>
      <c r="H35" s="61">
        <f t="shared" si="6"/>
        <v>3</v>
      </c>
      <c r="I35" s="97">
        <v>77.8</v>
      </c>
      <c r="J35" s="98">
        <f t="shared" si="1"/>
        <v>700.19999999999993</v>
      </c>
    </row>
    <row r="36" spans="1:10" ht="15.5">
      <c r="A36" s="63" t="s">
        <v>53</v>
      </c>
      <c r="B36" s="64" t="s">
        <v>58</v>
      </c>
      <c r="C36" s="46" t="s">
        <v>129</v>
      </c>
      <c r="D36" s="63" t="s">
        <v>64</v>
      </c>
      <c r="E36" s="20">
        <v>0</v>
      </c>
      <c r="F36" s="13">
        <v>2</v>
      </c>
      <c r="G36" s="56">
        <v>6</v>
      </c>
      <c r="H36" s="61">
        <f t="shared" si="6"/>
        <v>2</v>
      </c>
      <c r="I36" s="97">
        <v>77.8</v>
      </c>
      <c r="J36" s="98">
        <f t="shared" si="1"/>
        <v>466.79999999999995</v>
      </c>
    </row>
    <row r="37" spans="1:10" ht="15.5">
      <c r="A37" s="63" t="s">
        <v>53</v>
      </c>
      <c r="B37" s="64" t="s">
        <v>59</v>
      </c>
      <c r="C37" s="46" t="s">
        <v>129</v>
      </c>
      <c r="D37" s="63" t="s">
        <v>64</v>
      </c>
      <c r="E37" s="20">
        <v>0</v>
      </c>
      <c r="F37" s="13">
        <v>2</v>
      </c>
      <c r="G37" s="56">
        <v>6</v>
      </c>
      <c r="H37" s="61">
        <f t="shared" si="6"/>
        <v>2</v>
      </c>
      <c r="I37" s="97">
        <v>77.8</v>
      </c>
      <c r="J37" s="98">
        <f t="shared" si="1"/>
        <v>466.79999999999995</v>
      </c>
    </row>
    <row r="38" spans="1:10" ht="15.5">
      <c r="A38" s="63" t="s">
        <v>53</v>
      </c>
      <c r="B38" s="64" t="s">
        <v>126</v>
      </c>
      <c r="C38" s="46" t="s">
        <v>129</v>
      </c>
      <c r="D38" s="63" t="s">
        <v>64</v>
      </c>
      <c r="E38" s="20">
        <v>0</v>
      </c>
      <c r="F38" s="13">
        <v>2</v>
      </c>
      <c r="G38" s="56">
        <v>3</v>
      </c>
      <c r="H38" s="61">
        <f t="shared" si="6"/>
        <v>1</v>
      </c>
      <c r="I38" s="97">
        <v>77.8</v>
      </c>
      <c r="J38" s="98">
        <f t="shared" si="1"/>
        <v>233.39999999999998</v>
      </c>
    </row>
    <row r="39" spans="1:10" ht="15.5">
      <c r="A39" s="71" t="s">
        <v>133</v>
      </c>
      <c r="B39" s="71"/>
      <c r="C39" s="71"/>
      <c r="D39" s="71"/>
      <c r="E39" s="71"/>
      <c r="F39" s="71"/>
      <c r="G39" s="71">
        <f>SUM(G3:G38)</f>
        <v>483</v>
      </c>
      <c r="H39" s="72">
        <f>SUM(H3:H38)</f>
        <v>160.99999999999997</v>
      </c>
      <c r="I39" s="72"/>
      <c r="J39" s="99">
        <f>SUM(J3:J38)</f>
        <v>35011.5</v>
      </c>
    </row>
  </sheetData>
  <autoFilter ref="A2:J39" xr:uid="{B7655467-604A-455D-803E-7B9652713C48}"/>
  <mergeCells count="1">
    <mergeCell ref="A1:J1"/>
  </mergeCells>
  <conditionalFormatting sqref="F3:F17 F21:F32">
    <cfRule type="iconSet" priority="35">
      <iconSet showValue="0">
        <cfvo type="percent" val="0"/>
        <cfvo type="num" val="0" gte="0"/>
        <cfvo type="num" val="1"/>
      </iconSet>
    </cfRule>
  </conditionalFormatting>
  <conditionalFormatting sqref="F18">
    <cfRule type="iconSet" priority="5">
      <iconSet showValue="0">
        <cfvo type="percent" val="0"/>
        <cfvo type="num" val="0" gte="0"/>
        <cfvo type="num" val="1"/>
      </iconSet>
    </cfRule>
  </conditionalFormatting>
  <conditionalFormatting sqref="F19:F20">
    <cfRule type="iconSet" priority="4">
      <iconSet showValue="0">
        <cfvo type="percent" val="0"/>
        <cfvo type="num" val="0" gte="0"/>
        <cfvo type="num" val="1"/>
      </iconSet>
    </cfRule>
  </conditionalFormatting>
  <conditionalFormatting sqref="F33:F35">
    <cfRule type="iconSet" priority="3">
      <iconSet showValue="0">
        <cfvo type="percent" val="0"/>
        <cfvo type="num" val="0" gte="0"/>
        <cfvo type="num" val="1"/>
      </iconSet>
    </cfRule>
  </conditionalFormatting>
  <conditionalFormatting sqref="F36">
    <cfRule type="iconSet" priority="2">
      <iconSet showValue="0">
        <cfvo type="percent" val="0"/>
        <cfvo type="num" val="0" gte="0"/>
        <cfvo type="num" val="1"/>
      </iconSet>
    </cfRule>
  </conditionalFormatting>
  <conditionalFormatting sqref="F37:F38">
    <cfRule type="iconSet" priority="1">
      <iconSet showValue="0">
        <cfvo type="percent" val="0"/>
        <cfvo type="num" val="0" gte="0"/>
        <cfvo type="num" val="1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CCF3-BE16-4872-A035-C0CE70053A82}">
  <dimension ref="A1:N69"/>
  <sheetViews>
    <sheetView showGridLines="0" workbookViewId="0">
      <selection activeCell="G23" sqref="G23"/>
    </sheetView>
  </sheetViews>
  <sheetFormatPr defaultRowHeight="13"/>
  <cols>
    <col min="1" max="1" width="32.296875" bestFit="1" customWidth="1"/>
    <col min="2" max="2" width="14.59765625" style="50" bestFit="1" customWidth="1"/>
    <col min="3" max="3" width="5.59765625" customWidth="1"/>
    <col min="4" max="4" width="14.69921875" style="50" bestFit="1" customWidth="1"/>
    <col min="5" max="5" width="13.8984375" bestFit="1" customWidth="1"/>
    <col min="7" max="7" width="26.796875" bestFit="1" customWidth="1"/>
    <col min="8" max="13" width="5.59765625" customWidth="1"/>
  </cols>
  <sheetData>
    <row r="1" spans="1:14" s="6" customFormat="1" ht="13.5" thickBot="1">
      <c r="A1" s="108" t="s">
        <v>194</v>
      </c>
      <c r="B1" s="109" t="s">
        <v>193</v>
      </c>
      <c r="C1" s="108" t="s">
        <v>192</v>
      </c>
      <c r="D1" s="109" t="s">
        <v>191</v>
      </c>
      <c r="E1" s="108" t="s">
        <v>190</v>
      </c>
    </row>
    <row r="2" spans="1:14">
      <c r="A2" t="s">
        <v>84</v>
      </c>
      <c r="B2" s="50">
        <v>33904</v>
      </c>
      <c r="C2" t="s">
        <v>138</v>
      </c>
      <c r="D2" s="50">
        <v>44957</v>
      </c>
      <c r="E2" t="s">
        <v>66</v>
      </c>
      <c r="G2" s="107" t="s">
        <v>201</v>
      </c>
      <c r="H2" s="171" t="s">
        <v>133</v>
      </c>
      <c r="I2" s="172"/>
      <c r="J2" s="167" t="s">
        <v>135</v>
      </c>
      <c r="K2" s="168"/>
      <c r="L2" s="169" t="s">
        <v>143</v>
      </c>
      <c r="M2" s="170"/>
      <c r="N2" s="117" t="s">
        <v>133</v>
      </c>
    </row>
    <row r="3" spans="1:14" ht="13.5" thickBot="1">
      <c r="A3" t="s">
        <v>189</v>
      </c>
      <c r="B3" s="50">
        <v>27155</v>
      </c>
      <c r="C3" t="s">
        <v>138</v>
      </c>
      <c r="D3" s="50">
        <v>44986</v>
      </c>
      <c r="E3" t="s">
        <v>143</v>
      </c>
      <c r="G3" s="106" t="s">
        <v>200</v>
      </c>
      <c r="H3" s="111" t="s">
        <v>56</v>
      </c>
      <c r="I3" s="112" t="s">
        <v>138</v>
      </c>
      <c r="J3" s="113" t="s">
        <v>56</v>
      </c>
      <c r="K3" s="114" t="s">
        <v>138</v>
      </c>
      <c r="L3" s="115" t="s">
        <v>56</v>
      </c>
      <c r="M3" s="116" t="s">
        <v>138</v>
      </c>
      <c r="N3" s="147" t="s">
        <v>204</v>
      </c>
    </row>
    <row r="4" spans="1:14" ht="14.5">
      <c r="A4" t="s">
        <v>187</v>
      </c>
      <c r="B4" s="50">
        <v>34972</v>
      </c>
      <c r="C4" t="s">
        <v>56</v>
      </c>
      <c r="D4" s="50">
        <v>45014</v>
      </c>
      <c r="E4" t="s">
        <v>143</v>
      </c>
      <c r="G4" s="122" t="s">
        <v>188</v>
      </c>
      <c r="H4" s="128">
        <v>7</v>
      </c>
      <c r="I4" s="129">
        <v>1</v>
      </c>
      <c r="J4" s="128">
        <v>6</v>
      </c>
      <c r="K4" s="129">
        <v>1</v>
      </c>
      <c r="L4" s="128">
        <v>1</v>
      </c>
      <c r="M4" s="129">
        <v>0</v>
      </c>
      <c r="N4" s="123">
        <f>SUM(H4:I4)</f>
        <v>8</v>
      </c>
    </row>
    <row r="5" spans="1:14" ht="14.5">
      <c r="A5" t="s">
        <v>107</v>
      </c>
      <c r="B5" s="50">
        <v>32209</v>
      </c>
      <c r="C5" t="s">
        <v>138</v>
      </c>
      <c r="D5" s="50">
        <v>45028</v>
      </c>
      <c r="E5" t="s">
        <v>135</v>
      </c>
      <c r="G5" s="124" t="s">
        <v>186</v>
      </c>
      <c r="H5" s="130">
        <v>5</v>
      </c>
      <c r="I5" s="131">
        <v>0</v>
      </c>
      <c r="J5" s="130">
        <v>5</v>
      </c>
      <c r="K5" s="131">
        <v>0</v>
      </c>
      <c r="L5" s="130">
        <v>0</v>
      </c>
      <c r="M5" s="131">
        <v>0</v>
      </c>
      <c r="N5" s="125">
        <f t="shared" ref="N5:N12" si="0">SUM(H5:I5)</f>
        <v>5</v>
      </c>
    </row>
    <row r="6" spans="1:14" ht="14.5">
      <c r="A6" t="s">
        <v>184</v>
      </c>
      <c r="B6" s="50">
        <v>34077</v>
      </c>
      <c r="C6" t="s">
        <v>56</v>
      </c>
      <c r="D6" s="50">
        <v>45034</v>
      </c>
      <c r="E6" t="s">
        <v>143</v>
      </c>
      <c r="G6" s="124" t="s">
        <v>185</v>
      </c>
      <c r="H6" s="130">
        <v>15</v>
      </c>
      <c r="I6" s="131">
        <v>3</v>
      </c>
      <c r="J6" s="130">
        <v>13</v>
      </c>
      <c r="K6" s="131">
        <v>1</v>
      </c>
      <c r="L6" s="130">
        <v>2</v>
      </c>
      <c r="M6" s="131">
        <v>2</v>
      </c>
      <c r="N6" s="125">
        <f t="shared" si="0"/>
        <v>18</v>
      </c>
    </row>
    <row r="7" spans="1:14" ht="14.5">
      <c r="A7" t="s">
        <v>82</v>
      </c>
      <c r="B7" s="50">
        <v>36539</v>
      </c>
      <c r="C7" t="s">
        <v>56</v>
      </c>
      <c r="D7" s="50">
        <v>45041</v>
      </c>
      <c r="E7" t="s">
        <v>135</v>
      </c>
      <c r="G7" s="124" t="s">
        <v>183</v>
      </c>
      <c r="H7" s="130">
        <v>3</v>
      </c>
      <c r="I7" s="131">
        <v>1</v>
      </c>
      <c r="J7" s="130">
        <v>2</v>
      </c>
      <c r="K7" s="131">
        <v>1</v>
      </c>
      <c r="L7" s="130">
        <v>1</v>
      </c>
      <c r="M7" s="131">
        <v>0</v>
      </c>
      <c r="N7" s="125">
        <f t="shared" si="0"/>
        <v>4</v>
      </c>
    </row>
    <row r="8" spans="1:14" ht="14.5">
      <c r="A8" t="s">
        <v>104</v>
      </c>
      <c r="B8" s="50">
        <v>33150</v>
      </c>
      <c r="C8" t="s">
        <v>56</v>
      </c>
      <c r="D8" s="50">
        <v>45041</v>
      </c>
      <c r="E8" t="s">
        <v>135</v>
      </c>
      <c r="G8" s="124" t="s">
        <v>182</v>
      </c>
      <c r="H8" s="130">
        <v>5</v>
      </c>
      <c r="I8" s="131">
        <v>5</v>
      </c>
      <c r="J8" s="130">
        <v>3</v>
      </c>
      <c r="K8" s="131">
        <v>3</v>
      </c>
      <c r="L8" s="130">
        <v>2</v>
      </c>
      <c r="M8" s="131">
        <v>2</v>
      </c>
      <c r="N8" s="125">
        <f t="shared" si="0"/>
        <v>10</v>
      </c>
    </row>
    <row r="9" spans="1:14" ht="14.5">
      <c r="A9" t="s">
        <v>180</v>
      </c>
      <c r="B9" s="50">
        <v>33751</v>
      </c>
      <c r="C9" t="s">
        <v>56</v>
      </c>
      <c r="D9" s="50">
        <v>45050</v>
      </c>
      <c r="E9" t="s">
        <v>143</v>
      </c>
      <c r="G9" s="124" t="s">
        <v>181</v>
      </c>
      <c r="H9" s="130">
        <v>5</v>
      </c>
      <c r="I9" s="131">
        <v>2</v>
      </c>
      <c r="J9" s="130">
        <v>4</v>
      </c>
      <c r="K9" s="131">
        <v>1</v>
      </c>
      <c r="L9" s="130">
        <v>1</v>
      </c>
      <c r="M9" s="131">
        <v>1</v>
      </c>
      <c r="N9" s="125">
        <f t="shared" si="0"/>
        <v>7</v>
      </c>
    </row>
    <row r="10" spans="1:14" ht="14.5">
      <c r="A10" t="s">
        <v>178</v>
      </c>
      <c r="B10" s="50">
        <v>35539</v>
      </c>
      <c r="C10" t="s">
        <v>138</v>
      </c>
      <c r="D10" s="50">
        <v>45075</v>
      </c>
      <c r="E10" t="s">
        <v>135</v>
      </c>
      <c r="G10" s="124" t="s">
        <v>179</v>
      </c>
      <c r="H10" s="130">
        <v>8</v>
      </c>
      <c r="I10" s="131">
        <v>3</v>
      </c>
      <c r="J10" s="130">
        <v>5</v>
      </c>
      <c r="K10" s="131">
        <v>1</v>
      </c>
      <c r="L10" s="130">
        <v>3</v>
      </c>
      <c r="M10" s="131">
        <v>2</v>
      </c>
      <c r="N10" s="125">
        <f t="shared" si="0"/>
        <v>11</v>
      </c>
    </row>
    <row r="11" spans="1:14" ht="15" thickBot="1">
      <c r="A11" t="s">
        <v>176</v>
      </c>
      <c r="B11" s="50">
        <v>36767</v>
      </c>
      <c r="C11" t="s">
        <v>56</v>
      </c>
      <c r="D11" s="50">
        <v>45068</v>
      </c>
      <c r="E11" t="s">
        <v>143</v>
      </c>
      <c r="G11" s="126" t="s">
        <v>177</v>
      </c>
      <c r="H11" s="132">
        <v>3</v>
      </c>
      <c r="I11" s="133">
        <v>2</v>
      </c>
      <c r="J11" s="132">
        <v>3</v>
      </c>
      <c r="K11" s="133">
        <v>2</v>
      </c>
      <c r="L11" s="132">
        <v>0</v>
      </c>
      <c r="M11" s="133">
        <v>0</v>
      </c>
      <c r="N11" s="127">
        <f t="shared" si="0"/>
        <v>5</v>
      </c>
    </row>
    <row r="12" spans="1:14">
      <c r="A12" t="s">
        <v>175</v>
      </c>
      <c r="B12" s="50">
        <v>34045</v>
      </c>
      <c r="C12" t="s">
        <v>138</v>
      </c>
      <c r="D12" s="50">
        <v>45089</v>
      </c>
      <c r="E12" t="s">
        <v>135</v>
      </c>
      <c r="G12" s="120" t="s">
        <v>202</v>
      </c>
      <c r="H12" s="134">
        <f t="shared" ref="H12:M12" si="1">SUM(H4:H11)</f>
        <v>51</v>
      </c>
      <c r="I12" s="135">
        <f t="shared" si="1"/>
        <v>17</v>
      </c>
      <c r="J12" s="138">
        <f t="shared" si="1"/>
        <v>41</v>
      </c>
      <c r="K12" s="139">
        <f t="shared" si="1"/>
        <v>10</v>
      </c>
      <c r="L12" s="142">
        <f t="shared" si="1"/>
        <v>10</v>
      </c>
      <c r="M12" s="143">
        <f t="shared" si="1"/>
        <v>7</v>
      </c>
      <c r="N12" s="121">
        <f t="shared" si="0"/>
        <v>68</v>
      </c>
    </row>
    <row r="13" spans="1:14" ht="13.5" thickBot="1">
      <c r="A13" t="s">
        <v>174</v>
      </c>
      <c r="B13" s="50">
        <v>35397</v>
      </c>
      <c r="C13" t="s">
        <v>138</v>
      </c>
      <c r="D13" s="50">
        <v>45111</v>
      </c>
      <c r="E13" t="s">
        <v>135</v>
      </c>
      <c r="G13" s="119" t="s">
        <v>199</v>
      </c>
      <c r="H13" s="136">
        <f t="shared" ref="H13:M13" si="2">H12*3</f>
        <v>153</v>
      </c>
      <c r="I13" s="137">
        <f t="shared" si="2"/>
        <v>51</v>
      </c>
      <c r="J13" s="140">
        <f t="shared" si="2"/>
        <v>123</v>
      </c>
      <c r="K13" s="141">
        <f t="shared" si="2"/>
        <v>30</v>
      </c>
      <c r="L13" s="144">
        <f t="shared" si="2"/>
        <v>30</v>
      </c>
      <c r="M13" s="145">
        <f t="shared" si="2"/>
        <v>21</v>
      </c>
      <c r="N13" s="118">
        <f>SUM(H13:I13)</f>
        <v>204</v>
      </c>
    </row>
    <row r="14" spans="1:14">
      <c r="A14" t="s">
        <v>173</v>
      </c>
      <c r="B14" s="50">
        <v>32863</v>
      </c>
      <c r="C14" t="s">
        <v>138</v>
      </c>
      <c r="D14" s="50">
        <v>45125</v>
      </c>
      <c r="E14" t="s">
        <v>143</v>
      </c>
    </row>
    <row r="15" spans="1:14">
      <c r="A15" t="s">
        <v>172</v>
      </c>
      <c r="B15" s="50">
        <v>36417</v>
      </c>
      <c r="C15" t="s">
        <v>138</v>
      </c>
      <c r="D15" s="50">
        <v>45132</v>
      </c>
      <c r="E15" t="s">
        <v>143</v>
      </c>
      <c r="G15" t="s">
        <v>203</v>
      </c>
    </row>
    <row r="16" spans="1:14">
      <c r="A16" t="s">
        <v>91</v>
      </c>
      <c r="B16" s="50">
        <v>34208</v>
      </c>
      <c r="C16" t="s">
        <v>56</v>
      </c>
      <c r="D16" s="50">
        <v>44939</v>
      </c>
      <c r="E16" t="s">
        <v>135</v>
      </c>
    </row>
    <row r="17" spans="1:5">
      <c r="A17" t="s">
        <v>171</v>
      </c>
      <c r="B17" s="50">
        <v>28689</v>
      </c>
      <c r="C17" t="s">
        <v>56</v>
      </c>
      <c r="D17" s="50">
        <v>44991</v>
      </c>
      <c r="E17" t="s">
        <v>135</v>
      </c>
    </row>
    <row r="18" spans="1:5">
      <c r="A18" t="s">
        <v>170</v>
      </c>
      <c r="B18" s="50">
        <v>34069</v>
      </c>
      <c r="C18" t="s">
        <v>56</v>
      </c>
      <c r="D18" s="50">
        <v>44943</v>
      </c>
      <c r="E18" t="s">
        <v>143</v>
      </c>
    </row>
    <row r="19" spans="1:5">
      <c r="A19" t="s">
        <v>78</v>
      </c>
      <c r="B19" s="50">
        <v>33135</v>
      </c>
      <c r="C19" t="s">
        <v>56</v>
      </c>
      <c r="D19" s="50">
        <v>44952</v>
      </c>
      <c r="E19" t="s">
        <v>135</v>
      </c>
    </row>
    <row r="20" spans="1:5">
      <c r="A20" t="s">
        <v>105</v>
      </c>
      <c r="B20" s="50">
        <v>33109</v>
      </c>
      <c r="C20" t="s">
        <v>56</v>
      </c>
      <c r="D20" s="50">
        <v>44953</v>
      </c>
      <c r="E20" t="s">
        <v>135</v>
      </c>
    </row>
    <row r="21" spans="1:5">
      <c r="A21" t="s">
        <v>90</v>
      </c>
      <c r="B21" s="50">
        <v>31518</v>
      </c>
      <c r="C21" t="s">
        <v>56</v>
      </c>
      <c r="D21" s="50">
        <v>44956</v>
      </c>
      <c r="E21" t="s">
        <v>135</v>
      </c>
    </row>
    <row r="22" spans="1:5">
      <c r="A22" t="s">
        <v>94</v>
      </c>
      <c r="B22" s="50">
        <v>35431</v>
      </c>
      <c r="C22" t="s">
        <v>56</v>
      </c>
      <c r="D22" s="50">
        <v>44929</v>
      </c>
      <c r="E22" t="s">
        <v>66</v>
      </c>
    </row>
    <row r="23" spans="1:5">
      <c r="A23" t="s">
        <v>169</v>
      </c>
      <c r="B23" s="50">
        <v>35247</v>
      </c>
      <c r="C23" t="s">
        <v>56</v>
      </c>
      <c r="D23" s="50">
        <v>44959</v>
      </c>
      <c r="E23" t="s">
        <v>66</v>
      </c>
    </row>
    <row r="24" spans="1:5">
      <c r="A24" t="s">
        <v>168</v>
      </c>
      <c r="B24" s="50">
        <v>30272</v>
      </c>
      <c r="C24" t="s">
        <v>56</v>
      </c>
      <c r="D24" s="50">
        <v>44943</v>
      </c>
      <c r="E24" t="s">
        <v>66</v>
      </c>
    </row>
    <row r="25" spans="1:5">
      <c r="A25" t="s">
        <v>167</v>
      </c>
      <c r="B25" s="50">
        <v>36371</v>
      </c>
      <c r="C25" t="s">
        <v>56</v>
      </c>
      <c r="D25" s="50">
        <v>44993</v>
      </c>
      <c r="E25" t="s">
        <v>143</v>
      </c>
    </row>
    <row r="26" spans="1:5">
      <c r="A26" t="s">
        <v>166</v>
      </c>
      <c r="B26" s="50">
        <v>31515</v>
      </c>
      <c r="C26" t="s">
        <v>56</v>
      </c>
      <c r="D26" s="50">
        <v>44994</v>
      </c>
      <c r="E26" t="s">
        <v>135</v>
      </c>
    </row>
    <row r="27" spans="1:5">
      <c r="A27" t="s">
        <v>165</v>
      </c>
      <c r="B27" s="50">
        <v>28399</v>
      </c>
      <c r="C27" t="s">
        <v>56</v>
      </c>
      <c r="D27" s="50">
        <v>45009</v>
      </c>
      <c r="E27" t="s">
        <v>135</v>
      </c>
    </row>
    <row r="28" spans="1:5">
      <c r="A28" t="s">
        <v>164</v>
      </c>
      <c r="B28" s="50">
        <v>32578</v>
      </c>
      <c r="C28" t="s">
        <v>138</v>
      </c>
      <c r="D28" s="50">
        <v>45058</v>
      </c>
      <c r="E28" t="s">
        <v>143</v>
      </c>
    </row>
    <row r="29" spans="1:5">
      <c r="A29" t="s">
        <v>89</v>
      </c>
      <c r="B29" s="50">
        <v>34362</v>
      </c>
      <c r="C29" t="s">
        <v>56</v>
      </c>
      <c r="D29" s="50">
        <v>44965</v>
      </c>
      <c r="E29" t="s">
        <v>66</v>
      </c>
    </row>
    <row r="30" spans="1:5">
      <c r="A30" t="s">
        <v>87</v>
      </c>
      <c r="B30" s="50">
        <v>34830</v>
      </c>
      <c r="C30" t="s">
        <v>56</v>
      </c>
      <c r="D30" s="50">
        <v>44964</v>
      </c>
      <c r="E30" t="s">
        <v>66</v>
      </c>
    </row>
    <row r="31" spans="1:5">
      <c r="A31" t="s">
        <v>163</v>
      </c>
      <c r="B31" s="50">
        <v>33783</v>
      </c>
      <c r="C31" t="s">
        <v>56</v>
      </c>
      <c r="D31" s="50">
        <v>44973</v>
      </c>
      <c r="E31" t="s">
        <v>135</v>
      </c>
    </row>
    <row r="32" spans="1:5">
      <c r="A32" t="s">
        <v>83</v>
      </c>
      <c r="B32" s="50">
        <v>34435</v>
      </c>
      <c r="C32" t="s">
        <v>56</v>
      </c>
      <c r="D32" s="50">
        <v>44980</v>
      </c>
      <c r="E32" t="s">
        <v>135</v>
      </c>
    </row>
    <row r="33" spans="1:5">
      <c r="A33" t="s">
        <v>74</v>
      </c>
      <c r="B33" s="50">
        <v>34505</v>
      </c>
      <c r="C33" t="s">
        <v>56</v>
      </c>
      <c r="D33" s="50">
        <v>44986</v>
      </c>
      <c r="E33" t="s">
        <v>135</v>
      </c>
    </row>
    <row r="34" spans="1:5">
      <c r="A34" t="s">
        <v>97</v>
      </c>
      <c r="B34" s="50">
        <v>29689</v>
      </c>
      <c r="C34" t="s">
        <v>56</v>
      </c>
      <c r="D34" s="50">
        <v>44986</v>
      </c>
      <c r="E34" t="s">
        <v>135</v>
      </c>
    </row>
    <row r="35" spans="1:5">
      <c r="A35" t="s">
        <v>92</v>
      </c>
      <c r="B35" s="50">
        <v>33636</v>
      </c>
      <c r="C35" t="s">
        <v>56</v>
      </c>
      <c r="D35" s="50">
        <v>44991</v>
      </c>
      <c r="E35" t="s">
        <v>135</v>
      </c>
    </row>
    <row r="36" spans="1:5">
      <c r="A36" t="s">
        <v>85</v>
      </c>
      <c r="B36" s="50">
        <v>30958</v>
      </c>
      <c r="C36" t="s">
        <v>56</v>
      </c>
      <c r="D36" s="50">
        <v>44991</v>
      </c>
      <c r="E36" t="s">
        <v>135</v>
      </c>
    </row>
    <row r="37" spans="1:5">
      <c r="A37" t="s">
        <v>102</v>
      </c>
      <c r="B37" s="50">
        <v>32846</v>
      </c>
      <c r="C37" t="s">
        <v>56</v>
      </c>
      <c r="D37" s="50">
        <v>44994</v>
      </c>
      <c r="E37" t="s">
        <v>135</v>
      </c>
    </row>
    <row r="38" spans="1:5">
      <c r="A38" t="s">
        <v>162</v>
      </c>
      <c r="B38" s="50">
        <v>31734</v>
      </c>
      <c r="C38" t="s">
        <v>56</v>
      </c>
      <c r="D38" s="50">
        <v>45000</v>
      </c>
      <c r="E38" t="s">
        <v>135</v>
      </c>
    </row>
    <row r="39" spans="1:5">
      <c r="A39" t="s">
        <v>106</v>
      </c>
      <c r="B39" s="50">
        <v>34428</v>
      </c>
      <c r="C39" t="s">
        <v>56</v>
      </c>
      <c r="D39" s="50">
        <v>45001</v>
      </c>
      <c r="E39" t="s">
        <v>135</v>
      </c>
    </row>
    <row r="40" spans="1:5">
      <c r="A40" t="s">
        <v>108</v>
      </c>
      <c r="B40" s="50">
        <v>33940</v>
      </c>
      <c r="C40" t="s">
        <v>138</v>
      </c>
      <c r="D40" s="50">
        <v>45056</v>
      </c>
      <c r="E40" t="s">
        <v>135</v>
      </c>
    </row>
    <row r="41" spans="1:5">
      <c r="A41" t="s">
        <v>95</v>
      </c>
      <c r="B41" s="50">
        <v>31310</v>
      </c>
      <c r="C41" t="s">
        <v>56</v>
      </c>
      <c r="D41" s="50">
        <v>45001</v>
      </c>
      <c r="E41" t="s">
        <v>135</v>
      </c>
    </row>
    <row r="42" spans="1:5">
      <c r="A42" t="s">
        <v>80</v>
      </c>
      <c r="B42" s="50">
        <v>34726</v>
      </c>
      <c r="C42" t="s">
        <v>56</v>
      </c>
      <c r="D42" s="50">
        <v>45006</v>
      </c>
      <c r="E42" t="s">
        <v>135</v>
      </c>
    </row>
    <row r="43" spans="1:5">
      <c r="A43" t="s">
        <v>161</v>
      </c>
      <c r="B43" s="50">
        <v>31387</v>
      </c>
      <c r="C43" t="s">
        <v>138</v>
      </c>
      <c r="D43" s="50">
        <v>45005</v>
      </c>
      <c r="E43" t="s">
        <v>143</v>
      </c>
    </row>
    <row r="44" spans="1:5">
      <c r="A44" t="s">
        <v>79</v>
      </c>
      <c r="B44" s="50">
        <v>32194</v>
      </c>
      <c r="C44" t="s">
        <v>138</v>
      </c>
      <c r="D44" s="50">
        <v>45006</v>
      </c>
      <c r="E44" t="s">
        <v>135</v>
      </c>
    </row>
    <row r="45" spans="1:5">
      <c r="A45" t="s">
        <v>160</v>
      </c>
      <c r="B45" s="50">
        <v>28491</v>
      </c>
      <c r="C45" t="s">
        <v>56</v>
      </c>
      <c r="D45" s="50">
        <v>45062</v>
      </c>
      <c r="E45" t="s">
        <v>135</v>
      </c>
    </row>
    <row r="46" spans="1:5">
      <c r="A46" t="s">
        <v>159</v>
      </c>
      <c r="B46" s="50">
        <v>35182</v>
      </c>
      <c r="C46" t="s">
        <v>138</v>
      </c>
      <c r="D46" s="50">
        <v>45056</v>
      </c>
      <c r="E46" t="s">
        <v>143</v>
      </c>
    </row>
    <row r="47" spans="1:5">
      <c r="A47" t="s">
        <v>158</v>
      </c>
      <c r="B47" s="50">
        <v>34544</v>
      </c>
      <c r="C47" t="s">
        <v>56</v>
      </c>
      <c r="D47" s="50">
        <v>45012</v>
      </c>
      <c r="E47" t="s">
        <v>135</v>
      </c>
    </row>
    <row r="48" spans="1:5">
      <c r="A48" t="s">
        <v>103</v>
      </c>
      <c r="B48" s="50">
        <v>33645</v>
      </c>
      <c r="C48" t="s">
        <v>56</v>
      </c>
      <c r="D48" s="50">
        <v>45048</v>
      </c>
      <c r="E48" t="s">
        <v>135</v>
      </c>
    </row>
    <row r="49" spans="1:5">
      <c r="A49" t="s">
        <v>81</v>
      </c>
      <c r="B49" s="50">
        <v>32745</v>
      </c>
      <c r="C49" t="s">
        <v>56</v>
      </c>
      <c r="D49" s="50">
        <v>45048</v>
      </c>
      <c r="E49" t="s">
        <v>135</v>
      </c>
    </row>
    <row r="50" spans="1:5">
      <c r="A50" t="s">
        <v>157</v>
      </c>
      <c r="B50" s="50">
        <v>33493</v>
      </c>
      <c r="C50" t="s">
        <v>138</v>
      </c>
      <c r="D50" s="50">
        <v>45062</v>
      </c>
      <c r="E50" t="s">
        <v>135</v>
      </c>
    </row>
    <row r="51" spans="1:5">
      <c r="A51" t="s">
        <v>156</v>
      </c>
      <c r="B51" s="50">
        <v>27083</v>
      </c>
      <c r="C51" t="s">
        <v>56</v>
      </c>
      <c r="D51" s="50">
        <v>45083</v>
      </c>
      <c r="E51" t="s">
        <v>135</v>
      </c>
    </row>
    <row r="52" spans="1:5">
      <c r="A52" t="s">
        <v>155</v>
      </c>
      <c r="B52" s="50">
        <v>33565</v>
      </c>
      <c r="C52" t="s">
        <v>56</v>
      </c>
      <c r="D52" s="50">
        <v>45083</v>
      </c>
      <c r="E52" t="s">
        <v>135</v>
      </c>
    </row>
    <row r="53" spans="1:5">
      <c r="A53" t="s">
        <v>154</v>
      </c>
      <c r="B53" s="50">
        <v>35355</v>
      </c>
      <c r="C53" t="s">
        <v>56</v>
      </c>
      <c r="D53" s="50">
        <v>45090</v>
      </c>
      <c r="E53" t="s">
        <v>135</v>
      </c>
    </row>
    <row r="54" spans="1:5">
      <c r="A54" t="s">
        <v>153</v>
      </c>
      <c r="B54" s="50">
        <v>27832</v>
      </c>
      <c r="C54" t="s">
        <v>56</v>
      </c>
      <c r="D54" s="50">
        <v>45103</v>
      </c>
      <c r="E54" t="s">
        <v>135</v>
      </c>
    </row>
    <row r="55" spans="1:5">
      <c r="A55" t="s">
        <v>152</v>
      </c>
      <c r="B55" s="50">
        <v>31264</v>
      </c>
      <c r="C55" t="s">
        <v>56</v>
      </c>
      <c r="D55" s="50">
        <v>45106</v>
      </c>
      <c r="E55" t="s">
        <v>143</v>
      </c>
    </row>
    <row r="56" spans="1:5">
      <c r="A56" t="s">
        <v>151</v>
      </c>
      <c r="B56" s="50">
        <v>30532</v>
      </c>
      <c r="C56" t="s">
        <v>56</v>
      </c>
      <c r="D56" s="50">
        <v>45110</v>
      </c>
      <c r="E56" t="s">
        <v>135</v>
      </c>
    </row>
    <row r="57" spans="1:5">
      <c r="A57" t="s">
        <v>150</v>
      </c>
      <c r="B57" s="50">
        <v>27565</v>
      </c>
      <c r="C57" t="s">
        <v>56</v>
      </c>
      <c r="D57" s="50">
        <v>45110</v>
      </c>
      <c r="E57" t="s">
        <v>135</v>
      </c>
    </row>
    <row r="58" spans="1:5">
      <c r="A58" t="s">
        <v>149</v>
      </c>
      <c r="B58" s="50">
        <v>35975</v>
      </c>
      <c r="C58" t="s">
        <v>56</v>
      </c>
      <c r="D58" s="50">
        <v>45117</v>
      </c>
      <c r="E58" t="s">
        <v>135</v>
      </c>
    </row>
    <row r="59" spans="1:5">
      <c r="A59" t="s">
        <v>148</v>
      </c>
      <c r="B59" s="50">
        <v>31339</v>
      </c>
      <c r="C59" t="s">
        <v>56</v>
      </c>
      <c r="D59" s="50">
        <v>45131</v>
      </c>
      <c r="E59" t="s">
        <v>143</v>
      </c>
    </row>
    <row r="60" spans="1:5">
      <c r="A60" t="s">
        <v>147</v>
      </c>
      <c r="B60" s="50">
        <v>36270</v>
      </c>
      <c r="C60" t="s">
        <v>56</v>
      </c>
      <c r="D60" s="50">
        <v>45131</v>
      </c>
      <c r="E60" t="s">
        <v>135</v>
      </c>
    </row>
    <row r="61" spans="1:5">
      <c r="A61" t="s">
        <v>146</v>
      </c>
      <c r="B61" s="50">
        <v>32119</v>
      </c>
      <c r="C61" t="s">
        <v>56</v>
      </c>
      <c r="D61" s="50">
        <v>45131</v>
      </c>
      <c r="E61" t="s">
        <v>143</v>
      </c>
    </row>
    <row r="62" spans="1:5">
      <c r="A62" t="s">
        <v>145</v>
      </c>
      <c r="B62" s="50">
        <v>32254</v>
      </c>
      <c r="C62" t="s">
        <v>56</v>
      </c>
      <c r="D62" s="50">
        <v>45133</v>
      </c>
      <c r="E62" t="s">
        <v>143</v>
      </c>
    </row>
    <row r="63" spans="1:5">
      <c r="A63" t="s">
        <v>144</v>
      </c>
      <c r="B63" s="50">
        <v>35279</v>
      </c>
      <c r="C63" t="s">
        <v>138</v>
      </c>
      <c r="D63" s="50">
        <v>45083</v>
      </c>
      <c r="E63" t="s">
        <v>143</v>
      </c>
    </row>
    <row r="64" spans="1:5">
      <c r="A64" t="s">
        <v>142</v>
      </c>
      <c r="B64" s="50">
        <v>35221</v>
      </c>
      <c r="C64" t="s">
        <v>56</v>
      </c>
      <c r="D64" s="50">
        <v>45138</v>
      </c>
      <c r="E64" t="s">
        <v>135</v>
      </c>
    </row>
    <row r="65" spans="1:5">
      <c r="A65" t="s">
        <v>141</v>
      </c>
      <c r="B65" s="50">
        <v>33292</v>
      </c>
      <c r="C65" t="s">
        <v>56</v>
      </c>
      <c r="D65" s="50">
        <v>45140</v>
      </c>
      <c r="E65" t="s">
        <v>135</v>
      </c>
    </row>
    <row r="66" spans="1:5">
      <c r="A66" t="s">
        <v>140</v>
      </c>
      <c r="B66" s="50">
        <v>30129</v>
      </c>
      <c r="C66" t="s">
        <v>138</v>
      </c>
      <c r="D66" s="50">
        <v>45140</v>
      </c>
      <c r="E66" t="s">
        <v>135</v>
      </c>
    </row>
    <row r="67" spans="1:5">
      <c r="A67" t="s">
        <v>139</v>
      </c>
      <c r="B67" s="50">
        <v>33586</v>
      </c>
      <c r="C67" t="s">
        <v>138</v>
      </c>
      <c r="D67" s="50">
        <v>45148</v>
      </c>
      <c r="E67" t="s">
        <v>135</v>
      </c>
    </row>
    <row r="68" spans="1:5">
      <c r="A68" t="s">
        <v>137</v>
      </c>
      <c r="B68" s="50">
        <v>34373</v>
      </c>
      <c r="C68" t="s">
        <v>56</v>
      </c>
      <c r="D68" s="50">
        <v>45148</v>
      </c>
      <c r="E68" t="s">
        <v>135</v>
      </c>
    </row>
    <row r="69" spans="1:5">
      <c r="A69" t="s">
        <v>136</v>
      </c>
      <c r="B69" s="50">
        <v>34045</v>
      </c>
      <c r="C69" t="s">
        <v>56</v>
      </c>
      <c r="D69" s="50">
        <v>45162</v>
      </c>
      <c r="E69" t="s">
        <v>135</v>
      </c>
    </row>
  </sheetData>
  <autoFilter ref="A1:E69" xr:uid="{745B0603-E2B9-4479-A9D5-0E45216479C0}"/>
  <mergeCells count="3">
    <mergeCell ref="J2:K2"/>
    <mergeCell ref="L2:M2"/>
    <mergeCell ref="H2:I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DF58-6828-444F-8689-AE8B49C9E59A}">
  <dimension ref="A3:C7"/>
  <sheetViews>
    <sheetView workbookViewId="0">
      <selection activeCell="G24" sqref="G24"/>
    </sheetView>
  </sheetViews>
  <sheetFormatPr defaultRowHeight="13"/>
  <cols>
    <col min="1" max="1" width="16.09765625" bestFit="1" customWidth="1"/>
    <col min="2" max="2" width="6.59765625" bestFit="1" customWidth="1"/>
    <col min="3" max="3" width="25" bestFit="1" customWidth="1"/>
  </cols>
  <sheetData>
    <row r="3" spans="1:3">
      <c r="A3" s="110" t="s">
        <v>190</v>
      </c>
      <c r="B3" s="110" t="s">
        <v>192</v>
      </c>
      <c r="C3" t="s">
        <v>195</v>
      </c>
    </row>
    <row r="4" spans="1:3">
      <c r="A4" t="s">
        <v>66</v>
      </c>
      <c r="B4" t="s">
        <v>138</v>
      </c>
      <c r="C4">
        <v>10</v>
      </c>
    </row>
    <row r="5" spans="1:3">
      <c r="A5" t="s">
        <v>66</v>
      </c>
      <c r="B5" t="s">
        <v>56</v>
      </c>
      <c r="C5">
        <v>41</v>
      </c>
    </row>
    <row r="6" spans="1:3">
      <c r="A6" t="s">
        <v>143</v>
      </c>
      <c r="B6" t="s">
        <v>138</v>
      </c>
      <c r="C6">
        <v>7</v>
      </c>
    </row>
    <row r="7" spans="1:3">
      <c r="A7" t="s">
        <v>143</v>
      </c>
      <c r="B7" t="s">
        <v>56</v>
      </c>
      <c r="C7">
        <v>10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F8F9-03C4-4F80-971A-56D42AEFFB85}">
  <dimension ref="A1:H37"/>
  <sheetViews>
    <sheetView workbookViewId="0">
      <selection activeCell="E37" sqref="E37"/>
    </sheetView>
  </sheetViews>
  <sheetFormatPr defaultRowHeight="13"/>
  <cols>
    <col min="1" max="1" width="10" bestFit="1" customWidth="1"/>
    <col min="3" max="3" width="26.8984375" bestFit="1" customWidth="1"/>
    <col min="4" max="4" width="12.59765625" bestFit="1" customWidth="1"/>
    <col min="5" max="5" width="9.8984375" customWidth="1"/>
    <col min="6" max="6" width="8.3984375" bestFit="1" customWidth="1"/>
    <col min="7" max="7" width="11.59765625" customWidth="1"/>
    <col min="8" max="8" width="13.296875" bestFit="1" customWidth="1"/>
  </cols>
  <sheetData>
    <row r="1" spans="1:8" ht="48" customHeight="1">
      <c r="A1" s="166"/>
      <c r="B1" s="166"/>
      <c r="C1" s="166"/>
      <c r="D1" s="166"/>
      <c r="E1" s="166"/>
      <c r="F1" s="166"/>
      <c r="G1" s="166"/>
      <c r="H1" s="166"/>
    </row>
    <row r="2" spans="1:8" s="105" customFormat="1" ht="26">
      <c r="A2" s="100" t="s">
        <v>51</v>
      </c>
      <c r="B2" s="101" t="s">
        <v>60</v>
      </c>
      <c r="C2" s="101" t="s">
        <v>63</v>
      </c>
      <c r="D2" s="101" t="s">
        <v>67</v>
      </c>
      <c r="E2" s="148" t="s">
        <v>197</v>
      </c>
      <c r="F2" s="149" t="s">
        <v>198</v>
      </c>
      <c r="G2" s="103" t="s">
        <v>132</v>
      </c>
      <c r="H2" s="104" t="s">
        <v>133</v>
      </c>
    </row>
    <row r="3" spans="1:8" ht="15.5">
      <c r="A3" s="81" t="s">
        <v>52</v>
      </c>
      <c r="B3" s="82" t="s">
        <v>55</v>
      </c>
      <c r="C3" s="81" t="s">
        <v>61</v>
      </c>
      <c r="D3" s="81" t="s">
        <v>64</v>
      </c>
      <c r="E3" s="85">
        <v>30</v>
      </c>
      <c r="F3" s="86">
        <f>E3/3</f>
        <v>10</v>
      </c>
      <c r="G3" s="97">
        <v>50.7</v>
      </c>
      <c r="H3" s="98">
        <f>G3*E3</f>
        <v>1521</v>
      </c>
    </row>
    <row r="4" spans="1:8" ht="15.5">
      <c r="A4" s="81" t="s">
        <v>52</v>
      </c>
      <c r="B4" s="82" t="s">
        <v>56</v>
      </c>
      <c r="C4" s="81" t="s">
        <v>61</v>
      </c>
      <c r="D4" s="81" t="s">
        <v>64</v>
      </c>
      <c r="E4" s="85">
        <v>30</v>
      </c>
      <c r="F4" s="86">
        <f t="shared" ref="F4:F7" si="0">E4/3</f>
        <v>10</v>
      </c>
      <c r="G4" s="97">
        <v>50.7</v>
      </c>
      <c r="H4" s="98">
        <f t="shared" ref="H4:H36" si="1">G4*E4</f>
        <v>1521</v>
      </c>
    </row>
    <row r="5" spans="1:8" ht="15.5">
      <c r="A5" s="81" t="s">
        <v>52</v>
      </c>
      <c r="B5" s="82" t="s">
        <v>57</v>
      </c>
      <c r="C5" s="81" t="s">
        <v>61</v>
      </c>
      <c r="D5" s="81" t="s">
        <v>64</v>
      </c>
      <c r="E5" s="85">
        <v>7</v>
      </c>
      <c r="F5" s="86">
        <f t="shared" si="0"/>
        <v>2.3333333333333335</v>
      </c>
      <c r="G5" s="97">
        <v>50.7</v>
      </c>
      <c r="H5" s="98">
        <f t="shared" si="1"/>
        <v>354.90000000000003</v>
      </c>
    </row>
    <row r="6" spans="1:8" ht="15.5">
      <c r="A6" s="81" t="s">
        <v>52</v>
      </c>
      <c r="B6" s="82" t="s">
        <v>58</v>
      </c>
      <c r="C6" s="81" t="s">
        <v>61</v>
      </c>
      <c r="D6" s="81" t="s">
        <v>64</v>
      </c>
      <c r="E6" s="85">
        <v>7</v>
      </c>
      <c r="F6" s="86">
        <f t="shared" si="0"/>
        <v>2.3333333333333335</v>
      </c>
      <c r="G6" s="97">
        <v>50.7</v>
      </c>
      <c r="H6" s="98">
        <f t="shared" si="1"/>
        <v>354.90000000000003</v>
      </c>
    </row>
    <row r="7" spans="1:8" ht="15.5">
      <c r="A7" s="81" t="s">
        <v>52</v>
      </c>
      <c r="B7" s="82" t="s">
        <v>59</v>
      </c>
      <c r="C7" s="81" t="s">
        <v>61</v>
      </c>
      <c r="D7" s="81" t="s">
        <v>64</v>
      </c>
      <c r="E7" s="85">
        <v>7</v>
      </c>
      <c r="F7" s="86">
        <f t="shared" si="0"/>
        <v>2.3333333333333335</v>
      </c>
      <c r="G7" s="97">
        <v>50.7</v>
      </c>
      <c r="H7" s="98">
        <f t="shared" si="1"/>
        <v>354.90000000000003</v>
      </c>
    </row>
    <row r="8" spans="1:8" ht="15.5">
      <c r="A8" s="17" t="s">
        <v>52</v>
      </c>
      <c r="B8" s="18" t="s">
        <v>55</v>
      </c>
      <c r="C8" s="46" t="s">
        <v>128</v>
      </c>
      <c r="D8" s="17" t="s">
        <v>66</v>
      </c>
      <c r="E8" s="56">
        <v>36</v>
      </c>
      <c r="F8" s="61">
        <f>E8/3</f>
        <v>12</v>
      </c>
      <c r="G8" s="97">
        <v>79.8</v>
      </c>
      <c r="H8" s="98">
        <f t="shared" si="1"/>
        <v>2872.7999999999997</v>
      </c>
    </row>
    <row r="9" spans="1:8" ht="15.5">
      <c r="A9" s="17" t="s">
        <v>52</v>
      </c>
      <c r="B9" s="18" t="s">
        <v>56</v>
      </c>
      <c r="C9" s="46" t="s">
        <v>128</v>
      </c>
      <c r="D9" s="17" t="s">
        <v>66</v>
      </c>
      <c r="E9" s="56">
        <v>36</v>
      </c>
      <c r="F9" s="61">
        <f t="shared" ref="F9:F13" si="2">E9/3</f>
        <v>12</v>
      </c>
      <c r="G9" s="97">
        <v>79.8</v>
      </c>
      <c r="H9" s="98">
        <f t="shared" si="1"/>
        <v>2872.7999999999997</v>
      </c>
    </row>
    <row r="10" spans="1:8" ht="15.5">
      <c r="A10" s="17" t="s">
        <v>52</v>
      </c>
      <c r="B10" s="18" t="s">
        <v>57</v>
      </c>
      <c r="C10" s="46" t="s">
        <v>128</v>
      </c>
      <c r="D10" s="17" t="s">
        <v>66</v>
      </c>
      <c r="E10" s="56">
        <v>36</v>
      </c>
      <c r="F10" s="61">
        <f t="shared" si="2"/>
        <v>12</v>
      </c>
      <c r="G10" s="97">
        <v>79.8</v>
      </c>
      <c r="H10" s="98">
        <f t="shared" si="1"/>
        <v>2872.7999999999997</v>
      </c>
    </row>
    <row r="11" spans="1:8" ht="15.5">
      <c r="A11" s="17" t="s">
        <v>52</v>
      </c>
      <c r="B11" s="18" t="s">
        <v>58</v>
      </c>
      <c r="C11" s="46" t="s">
        <v>128</v>
      </c>
      <c r="D11" s="17" t="s">
        <v>66</v>
      </c>
      <c r="E11" s="56">
        <v>24</v>
      </c>
      <c r="F11" s="61">
        <f t="shared" si="2"/>
        <v>8</v>
      </c>
      <c r="G11" s="97">
        <v>79.8</v>
      </c>
      <c r="H11" s="98">
        <f t="shared" si="1"/>
        <v>1915.1999999999998</v>
      </c>
    </row>
    <row r="12" spans="1:8" ht="15.5">
      <c r="A12" s="17" t="s">
        <v>52</v>
      </c>
      <c r="B12" s="18" t="s">
        <v>59</v>
      </c>
      <c r="C12" s="46" t="s">
        <v>128</v>
      </c>
      <c r="D12" s="17" t="s">
        <v>66</v>
      </c>
      <c r="E12" s="56">
        <v>12</v>
      </c>
      <c r="F12" s="61">
        <f t="shared" si="2"/>
        <v>4</v>
      </c>
      <c r="G12" s="97">
        <v>79.8</v>
      </c>
      <c r="H12" s="98">
        <f t="shared" si="1"/>
        <v>957.59999999999991</v>
      </c>
    </row>
    <row r="13" spans="1:8" ht="15.5">
      <c r="A13" s="46" t="s">
        <v>52</v>
      </c>
      <c r="B13" s="47" t="s">
        <v>126</v>
      </c>
      <c r="C13" s="46" t="s">
        <v>128</v>
      </c>
      <c r="D13" s="46" t="s">
        <v>66</v>
      </c>
      <c r="E13" s="56">
        <v>12</v>
      </c>
      <c r="F13" s="61">
        <f t="shared" si="2"/>
        <v>4</v>
      </c>
      <c r="G13" s="97">
        <v>79.8</v>
      </c>
      <c r="H13" s="98">
        <f t="shared" si="1"/>
        <v>957.59999999999991</v>
      </c>
    </row>
    <row r="14" spans="1:8" ht="15.5">
      <c r="A14" s="81" t="s">
        <v>52</v>
      </c>
      <c r="B14" s="83" t="s">
        <v>55</v>
      </c>
      <c r="C14" s="89" t="s">
        <v>129</v>
      </c>
      <c r="D14" s="90" t="s">
        <v>64</v>
      </c>
      <c r="E14" s="85">
        <v>36</v>
      </c>
      <c r="F14" s="86">
        <f>E14/3</f>
        <v>12</v>
      </c>
      <c r="G14" s="97">
        <v>77.8</v>
      </c>
      <c r="H14" s="98">
        <f t="shared" si="1"/>
        <v>2800.7999999999997</v>
      </c>
    </row>
    <row r="15" spans="1:8" ht="15.5">
      <c r="A15" s="92" t="s">
        <v>52</v>
      </c>
      <c r="B15" s="93" t="s">
        <v>56</v>
      </c>
      <c r="C15" s="92" t="s">
        <v>129</v>
      </c>
      <c r="D15" s="90" t="s">
        <v>64</v>
      </c>
      <c r="E15" s="85">
        <v>36</v>
      </c>
      <c r="F15" s="86">
        <f t="shared" ref="F15:F19" si="3">E15/3</f>
        <v>12</v>
      </c>
      <c r="G15" s="97">
        <v>77.8</v>
      </c>
      <c r="H15" s="98">
        <f t="shared" si="1"/>
        <v>2800.7999999999997</v>
      </c>
    </row>
    <row r="16" spans="1:8" ht="15.5">
      <c r="A16" s="81" t="s">
        <v>52</v>
      </c>
      <c r="B16" s="94" t="s">
        <v>57</v>
      </c>
      <c r="C16" s="89" t="s">
        <v>129</v>
      </c>
      <c r="D16" s="90" t="s">
        <v>64</v>
      </c>
      <c r="E16" s="85">
        <v>24</v>
      </c>
      <c r="F16" s="86">
        <f t="shared" si="3"/>
        <v>8</v>
      </c>
      <c r="G16" s="97">
        <v>77.8</v>
      </c>
      <c r="H16" s="98">
        <f t="shared" si="1"/>
        <v>1867.1999999999998</v>
      </c>
    </row>
    <row r="17" spans="1:8" ht="15.5">
      <c r="A17" s="81" t="s">
        <v>52</v>
      </c>
      <c r="B17" s="95" t="s">
        <v>58</v>
      </c>
      <c r="C17" s="89" t="s">
        <v>129</v>
      </c>
      <c r="D17" s="90" t="s">
        <v>64</v>
      </c>
      <c r="E17" s="85">
        <v>24</v>
      </c>
      <c r="F17" s="86">
        <f t="shared" si="3"/>
        <v>8</v>
      </c>
      <c r="G17" s="97">
        <v>77.8</v>
      </c>
      <c r="H17" s="98">
        <f t="shared" si="1"/>
        <v>1867.1999999999998</v>
      </c>
    </row>
    <row r="18" spans="1:8" ht="15.5">
      <c r="A18" s="81" t="s">
        <v>52</v>
      </c>
      <c r="B18" s="95" t="s">
        <v>59</v>
      </c>
      <c r="C18" s="89" t="s">
        <v>129</v>
      </c>
      <c r="D18" s="90" t="s">
        <v>64</v>
      </c>
      <c r="E18" s="85">
        <v>9</v>
      </c>
      <c r="F18" s="86">
        <f t="shared" si="3"/>
        <v>3</v>
      </c>
      <c r="G18" s="97">
        <v>77.8</v>
      </c>
      <c r="H18" s="98">
        <f t="shared" si="1"/>
        <v>700.19999999999993</v>
      </c>
    </row>
    <row r="19" spans="1:8" ht="15.5">
      <c r="A19" s="81" t="s">
        <v>52</v>
      </c>
      <c r="B19" s="95" t="s">
        <v>126</v>
      </c>
      <c r="C19" s="89" t="s">
        <v>129</v>
      </c>
      <c r="D19" s="90" t="s">
        <v>64</v>
      </c>
      <c r="E19" s="85">
        <v>9</v>
      </c>
      <c r="F19" s="86">
        <f t="shared" si="3"/>
        <v>3</v>
      </c>
      <c r="G19" s="97">
        <v>77.8</v>
      </c>
      <c r="H19" s="98">
        <f t="shared" si="1"/>
        <v>700.19999999999993</v>
      </c>
    </row>
    <row r="20" spans="1:8" ht="15.5">
      <c r="A20" s="17" t="s">
        <v>53</v>
      </c>
      <c r="B20" s="18" t="s">
        <v>55</v>
      </c>
      <c r="C20" s="17" t="s">
        <v>61</v>
      </c>
      <c r="D20" s="17" t="s">
        <v>64</v>
      </c>
      <c r="E20" s="56">
        <v>6</v>
      </c>
      <c r="F20" s="61">
        <f>E20/3</f>
        <v>2</v>
      </c>
      <c r="G20" s="97">
        <v>50.7</v>
      </c>
      <c r="H20" s="98">
        <f t="shared" si="1"/>
        <v>304.20000000000005</v>
      </c>
    </row>
    <row r="21" spans="1:8" ht="15.5">
      <c r="A21" s="17" t="s">
        <v>53</v>
      </c>
      <c r="B21" s="18" t="s">
        <v>56</v>
      </c>
      <c r="C21" s="17" t="s">
        <v>61</v>
      </c>
      <c r="D21" s="17" t="s">
        <v>64</v>
      </c>
      <c r="E21" s="56">
        <v>6</v>
      </c>
      <c r="F21" s="61">
        <f t="shared" ref="F21:F24" si="4">E21/3</f>
        <v>2</v>
      </c>
      <c r="G21" s="97">
        <v>50.7</v>
      </c>
      <c r="H21" s="98">
        <f t="shared" si="1"/>
        <v>304.20000000000005</v>
      </c>
    </row>
    <row r="22" spans="1:8" ht="15.5">
      <c r="A22" s="17" t="s">
        <v>53</v>
      </c>
      <c r="B22" s="18" t="s">
        <v>57</v>
      </c>
      <c r="C22" s="17" t="s">
        <v>61</v>
      </c>
      <c r="D22" s="17" t="s">
        <v>64</v>
      </c>
      <c r="E22" s="56">
        <v>8</v>
      </c>
      <c r="F22" s="61">
        <f t="shared" si="4"/>
        <v>2.6666666666666665</v>
      </c>
      <c r="G22" s="97">
        <v>50.7</v>
      </c>
      <c r="H22" s="98">
        <f t="shared" si="1"/>
        <v>405.6</v>
      </c>
    </row>
    <row r="23" spans="1:8" ht="15.5">
      <c r="A23" s="17" t="s">
        <v>53</v>
      </c>
      <c r="B23" s="18" t="s">
        <v>58</v>
      </c>
      <c r="C23" s="17" t="s">
        <v>61</v>
      </c>
      <c r="D23" s="17" t="s">
        <v>64</v>
      </c>
      <c r="E23" s="56">
        <v>5</v>
      </c>
      <c r="F23" s="61">
        <f t="shared" si="4"/>
        <v>1.6666666666666667</v>
      </c>
      <c r="G23" s="97">
        <v>50.7</v>
      </c>
      <c r="H23" s="98">
        <f t="shared" si="1"/>
        <v>253.5</v>
      </c>
    </row>
    <row r="24" spans="1:8" ht="15.5">
      <c r="A24" s="17" t="s">
        <v>53</v>
      </c>
      <c r="B24" s="18" t="s">
        <v>59</v>
      </c>
      <c r="C24" s="17" t="s">
        <v>61</v>
      </c>
      <c r="D24" s="17" t="s">
        <v>64</v>
      </c>
      <c r="E24" s="56">
        <v>3</v>
      </c>
      <c r="F24" s="61">
        <f t="shared" si="4"/>
        <v>1</v>
      </c>
      <c r="G24" s="97">
        <v>50.7</v>
      </c>
      <c r="H24" s="98">
        <f t="shared" si="1"/>
        <v>152.10000000000002</v>
      </c>
    </row>
    <row r="25" spans="1:8" ht="15.5">
      <c r="A25" s="81" t="s">
        <v>53</v>
      </c>
      <c r="B25" s="82" t="s">
        <v>55</v>
      </c>
      <c r="C25" s="89" t="s">
        <v>128</v>
      </c>
      <c r="D25" s="81" t="s">
        <v>66</v>
      </c>
      <c r="E25" s="85">
        <v>11</v>
      </c>
      <c r="F25" s="86">
        <f>E25/3</f>
        <v>3.6666666666666665</v>
      </c>
      <c r="G25" s="97">
        <v>79.8</v>
      </c>
      <c r="H25" s="98">
        <f t="shared" si="1"/>
        <v>877.8</v>
      </c>
    </row>
    <row r="26" spans="1:8" ht="15.5">
      <c r="A26" s="81" t="s">
        <v>53</v>
      </c>
      <c r="B26" s="82" t="s">
        <v>56</v>
      </c>
      <c r="C26" s="89" t="s">
        <v>128</v>
      </c>
      <c r="D26" s="81" t="s">
        <v>66</v>
      </c>
      <c r="E26" s="85">
        <v>12</v>
      </c>
      <c r="F26" s="86">
        <f t="shared" ref="F26:F30" si="5">E26/3</f>
        <v>4</v>
      </c>
      <c r="G26" s="97">
        <v>79.8</v>
      </c>
      <c r="H26" s="98">
        <f t="shared" si="1"/>
        <v>957.59999999999991</v>
      </c>
    </row>
    <row r="27" spans="1:8" ht="15.5">
      <c r="A27" s="81" t="s">
        <v>53</v>
      </c>
      <c r="B27" s="82" t="s">
        <v>57</v>
      </c>
      <c r="C27" s="89" t="s">
        <v>128</v>
      </c>
      <c r="D27" s="81" t="s">
        <v>66</v>
      </c>
      <c r="E27" s="85">
        <v>6</v>
      </c>
      <c r="F27" s="86">
        <f t="shared" si="5"/>
        <v>2</v>
      </c>
      <c r="G27" s="97">
        <v>79.8</v>
      </c>
      <c r="H27" s="98">
        <f t="shared" si="1"/>
        <v>478.79999999999995</v>
      </c>
    </row>
    <row r="28" spans="1:8" ht="15.5">
      <c r="A28" s="81" t="s">
        <v>53</v>
      </c>
      <c r="B28" s="82" t="s">
        <v>58</v>
      </c>
      <c r="C28" s="89" t="s">
        <v>128</v>
      </c>
      <c r="D28" s="81" t="s">
        <v>66</v>
      </c>
      <c r="E28" s="85">
        <v>0</v>
      </c>
      <c r="F28" s="86">
        <f t="shared" si="5"/>
        <v>0</v>
      </c>
      <c r="G28" s="97">
        <v>79.8</v>
      </c>
      <c r="H28" s="98">
        <f t="shared" si="1"/>
        <v>0</v>
      </c>
    </row>
    <row r="29" spans="1:8" ht="15.5">
      <c r="A29" s="81" t="s">
        <v>53</v>
      </c>
      <c r="B29" s="82" t="s">
        <v>59</v>
      </c>
      <c r="C29" s="89" t="s">
        <v>128</v>
      </c>
      <c r="D29" s="81" t="s">
        <v>66</v>
      </c>
      <c r="E29" s="85">
        <v>6</v>
      </c>
      <c r="F29" s="86">
        <f t="shared" si="5"/>
        <v>2</v>
      </c>
      <c r="G29" s="97">
        <v>79.8</v>
      </c>
      <c r="H29" s="98">
        <f t="shared" si="1"/>
        <v>478.79999999999995</v>
      </c>
    </row>
    <row r="30" spans="1:8" ht="15.5">
      <c r="A30" s="89" t="s">
        <v>53</v>
      </c>
      <c r="B30" s="96" t="s">
        <v>126</v>
      </c>
      <c r="C30" s="89" t="s">
        <v>128</v>
      </c>
      <c r="D30" s="89" t="s">
        <v>66</v>
      </c>
      <c r="E30" s="85">
        <v>3</v>
      </c>
      <c r="F30" s="86">
        <f t="shared" si="5"/>
        <v>1</v>
      </c>
      <c r="G30" s="97">
        <v>79.8</v>
      </c>
      <c r="H30" s="98">
        <f t="shared" si="1"/>
        <v>239.39999999999998</v>
      </c>
    </row>
    <row r="31" spans="1:8" ht="15.5">
      <c r="A31" s="63" t="s">
        <v>53</v>
      </c>
      <c r="B31" s="19" t="s">
        <v>55</v>
      </c>
      <c r="C31" s="46" t="s">
        <v>129</v>
      </c>
      <c r="D31" s="63" t="s">
        <v>64</v>
      </c>
      <c r="E31" s="56">
        <v>9</v>
      </c>
      <c r="F31" s="61">
        <f>E31/3</f>
        <v>3</v>
      </c>
      <c r="G31" s="97">
        <v>77.8</v>
      </c>
      <c r="H31" s="98">
        <f t="shared" si="1"/>
        <v>700.19999999999993</v>
      </c>
    </row>
    <row r="32" spans="1:8" ht="15.5">
      <c r="A32" s="63" t="s">
        <v>53</v>
      </c>
      <c r="B32" s="52" t="s">
        <v>56</v>
      </c>
      <c r="C32" s="51" t="s">
        <v>129</v>
      </c>
      <c r="D32" s="63" t="s">
        <v>64</v>
      </c>
      <c r="E32" s="56">
        <v>9</v>
      </c>
      <c r="F32" s="61">
        <f t="shared" ref="F32:F36" si="6">E32/3</f>
        <v>3</v>
      </c>
      <c r="G32" s="97">
        <v>77.8</v>
      </c>
      <c r="H32" s="98">
        <f t="shared" si="1"/>
        <v>700.19999999999993</v>
      </c>
    </row>
    <row r="33" spans="1:8" ht="15.5">
      <c r="A33" s="63" t="s">
        <v>53</v>
      </c>
      <c r="B33" s="24" t="s">
        <v>57</v>
      </c>
      <c r="C33" s="46" t="s">
        <v>129</v>
      </c>
      <c r="D33" s="63" t="s">
        <v>64</v>
      </c>
      <c r="E33" s="56">
        <v>9</v>
      </c>
      <c r="F33" s="61">
        <f t="shared" si="6"/>
        <v>3</v>
      </c>
      <c r="G33" s="97">
        <v>77.8</v>
      </c>
      <c r="H33" s="98">
        <f t="shared" si="1"/>
        <v>700.19999999999993</v>
      </c>
    </row>
    <row r="34" spans="1:8" ht="15.5">
      <c r="A34" s="63" t="s">
        <v>53</v>
      </c>
      <c r="B34" s="64" t="s">
        <v>58</v>
      </c>
      <c r="C34" s="46" t="s">
        <v>129</v>
      </c>
      <c r="D34" s="63" t="s">
        <v>64</v>
      </c>
      <c r="E34" s="56">
        <v>6</v>
      </c>
      <c r="F34" s="61">
        <f t="shared" si="6"/>
        <v>2</v>
      </c>
      <c r="G34" s="97">
        <v>77.8</v>
      </c>
      <c r="H34" s="98">
        <f t="shared" si="1"/>
        <v>466.79999999999995</v>
      </c>
    </row>
    <row r="35" spans="1:8" ht="15.5">
      <c r="A35" s="63" t="s">
        <v>53</v>
      </c>
      <c r="B35" s="64" t="s">
        <v>59</v>
      </c>
      <c r="C35" s="46" t="s">
        <v>129</v>
      </c>
      <c r="D35" s="63" t="s">
        <v>64</v>
      </c>
      <c r="E35" s="56">
        <v>6</v>
      </c>
      <c r="F35" s="61">
        <f t="shared" si="6"/>
        <v>2</v>
      </c>
      <c r="G35" s="97">
        <v>77.8</v>
      </c>
      <c r="H35" s="98">
        <f t="shared" si="1"/>
        <v>466.79999999999995</v>
      </c>
    </row>
    <row r="36" spans="1:8" ht="15.5">
      <c r="A36" s="63" t="s">
        <v>53</v>
      </c>
      <c r="B36" s="64" t="s">
        <v>126</v>
      </c>
      <c r="C36" s="46" t="s">
        <v>129</v>
      </c>
      <c r="D36" s="63" t="s">
        <v>64</v>
      </c>
      <c r="E36" s="56">
        <v>3</v>
      </c>
      <c r="F36" s="61">
        <f t="shared" si="6"/>
        <v>1</v>
      </c>
      <c r="G36" s="97">
        <v>77.8</v>
      </c>
      <c r="H36" s="98">
        <f t="shared" si="1"/>
        <v>233.39999999999998</v>
      </c>
    </row>
    <row r="37" spans="1:8" ht="15.5">
      <c r="A37" s="71" t="s">
        <v>133</v>
      </c>
      <c r="B37" s="71"/>
      <c r="C37" s="71"/>
      <c r="D37" s="71"/>
      <c r="E37" s="71">
        <f>SUM(E3:E36)</f>
        <v>483</v>
      </c>
      <c r="F37" s="72">
        <f>SUM(F3:F36)</f>
        <v>160.99999999999997</v>
      </c>
      <c r="G37" s="72"/>
      <c r="H37" s="99">
        <f>SUM(H3:H36)</f>
        <v>35011.5</v>
      </c>
    </row>
  </sheetData>
  <autoFilter ref="A2:H37" xr:uid="{B7655467-604A-455D-803E-7B9652713C48}"/>
  <mergeCells count="1">
    <mergeCell ref="A1:H1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817BA8EDD1F848A6B77F437942C447" ma:contentTypeVersion="18" ma:contentTypeDescription="Create a new document." ma:contentTypeScope="" ma:versionID="8ca029b795fbd1fc63b6fef3c0f14595">
  <xsd:schema xmlns:xsd="http://www.w3.org/2001/XMLSchema" xmlns:xs="http://www.w3.org/2001/XMLSchema" xmlns:p="http://schemas.microsoft.com/office/2006/metadata/properties" xmlns:ns2="a340a5ec-1eb4-441e-bd31-7fbe6d0b7dc4" xmlns:ns3="257dc6a1-db66-4376-ab10-64f13bac24ef" targetNamespace="http://schemas.microsoft.com/office/2006/metadata/properties" ma:root="true" ma:fieldsID="93ca6e86e0e0fe7458924adc9d3282e7" ns2:_="" ns3:_="">
    <xsd:import namespace="a340a5ec-1eb4-441e-bd31-7fbe6d0b7dc4"/>
    <xsd:import namespace="257dc6a1-db66-4376-ab10-64f13bac24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0a5ec-1eb4-441e-bd31-7fbe6d0b7d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01f610-fd22-46d6-9aa9-19573a5638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dc6a1-db66-4376-ab10-64f13bac24e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d3b4027-76b4-4703-a8da-4d424566122c}" ma:internalName="TaxCatchAll" ma:showField="CatchAllData" ma:web="257dc6a1-db66-4376-ab10-64f13bac24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7dc6a1-db66-4376-ab10-64f13bac24ef" xsi:nil="true"/>
    <lcf76f155ced4ddcb4097134ff3c332f xmlns="a340a5ec-1eb4-441e-bd31-7fbe6d0b7dc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075DC4-9B85-472C-979A-B5ADC66A52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40a5ec-1eb4-441e-bd31-7fbe6d0b7dc4"/>
    <ds:schemaRef ds:uri="257dc6a1-db66-4376-ab10-64f13bac24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0A11D0-3A4E-4B77-9219-33AC1CCD5B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A55B60-44B2-449B-8D7D-B938E1DF8ECB}">
  <ds:schemaRefs>
    <ds:schemaRef ds:uri="http://schemas.microsoft.com/office/2006/metadata/properties"/>
    <ds:schemaRef ds:uri="http://schemas.microsoft.com/office/infopath/2007/PartnerControls"/>
    <ds:schemaRef ds:uri="257dc6a1-db66-4376-ab10-64f13bac24ef"/>
    <ds:schemaRef ds:uri="a340a5ec-1eb4-441e-bd31-7fbe6d0b7d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Planilha1</vt:lpstr>
      <vt:lpstr>Controle de Uniformes</vt:lpstr>
      <vt:lpstr>Entrega Agasalhos</vt:lpstr>
      <vt:lpstr>Planilha2</vt:lpstr>
      <vt:lpstr>Folha2</vt:lpstr>
      <vt:lpstr>Folha3</vt:lpstr>
      <vt:lpstr>Planilha2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Araujo</dc:creator>
  <cp:lastModifiedBy>Andre Luiz Costa Guimarães</cp:lastModifiedBy>
  <cp:lastPrinted>2026-08-26T12:24:14Z</cp:lastPrinted>
  <dcterms:created xsi:type="dcterms:W3CDTF">2022-10-11T09:26:30Z</dcterms:created>
  <dcterms:modified xsi:type="dcterms:W3CDTF">2026-08-28T10:50:32Z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0x0101006C817BA8EDD1F848A6B77F437942C447</vt:lpwstr>
  </property>
</Properties>
</file>